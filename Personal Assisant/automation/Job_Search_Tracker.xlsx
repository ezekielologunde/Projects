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0" yWindow="1520" windowWidth="28800" windowHeight="15370" tabRatio="600" firstSheet="0" activeTab="0" autoFilterDateGrouping="1"/>
  </bookViews>
  <sheets>
    <sheet xmlns:r="http://schemas.openxmlformats.org/officeDocument/2006/relationships" name="All Applica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mail-Only Applications" sheetId="3" state="visible" r:id="rId3"/>
  </sheets>
  <definedNames>
    <definedName name="_xlnm._FilterDatabase" localSheetId="0" hidden="1">'All Applications'!$A$1:$H$140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.5"/>
    </font>
    <font>
      <name val="Arial"/>
      <b val="1"/>
      <color rgb="FF1F2761"/>
      <sz val="18"/>
    </font>
    <font>
      <name val="Arial"/>
      <i val="1"/>
      <color rgb="FF555555"/>
      <sz val="10"/>
    </font>
    <font>
      <name val="Arial"/>
      <b val="1"/>
      <sz val="12"/>
    </font>
    <font>
      <name val="Arial"/>
      <b val="1"/>
      <color rgb="FF1F2761"/>
      <sz val="16"/>
    </font>
    <font>
      <name val="Arial"/>
      <b val="1"/>
      <color rgb="FFFFFFFF"/>
      <sz val="13"/>
    </font>
    <font>
      <name val="Arial"/>
      <sz val="11"/>
    </font>
    <font>
      <name val="Arial"/>
      <b val="1"/>
      <sz val="11"/>
    </font>
    <font>
      <name val="Arial"/>
      <i val="1"/>
      <color rgb="FF777777"/>
      <sz val="9"/>
    </font>
  </fonts>
  <fills count="9">
    <fill>
      <patternFill/>
    </fill>
    <fill>
      <patternFill patternType="gray125"/>
    </fill>
    <fill>
      <patternFill patternType="solid">
        <fgColor rgb="FF1F2761"/>
      </patternFill>
    </fill>
    <fill>
      <patternFill patternType="solid">
        <fgColor rgb="FFF2F2F2"/>
      </patternFill>
    </fill>
    <fill>
      <patternFill patternType="solid">
        <fgColor rgb="FFEEF1FA"/>
      </patternFill>
    </fill>
    <fill>
      <patternFill patternType="solid">
        <fgColor rgb="FFCDE7FF"/>
      </patternFill>
    </fill>
    <fill>
      <patternFill patternType="solid">
        <fgColor rgb="FFD9F2D9"/>
      </patternFill>
    </fill>
    <fill>
      <patternFill patternType="solid">
        <fgColor rgb="FFFFF3CD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8" fillId="6" borderId="0" pivotButton="0" quotePrefix="0" xfId="0"/>
    <xf numFmtId="0" fontId="9" fillId="6" borderId="0" pivotButton="0" quotePrefix="0" xfId="0"/>
    <xf numFmtId="0" fontId="8" fillId="5" borderId="0" pivotButton="0" quotePrefix="0" xfId="0"/>
    <xf numFmtId="0" fontId="9" fillId="5" borderId="0" pivotButton="0" quotePrefix="0" xfId="0"/>
    <xf numFmtId="0" fontId="8" fillId="7" borderId="0" pivotButton="0" quotePrefix="0" xfId="0"/>
    <xf numFmtId="0" fontId="9" fillId="7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8" fillId="8" borderId="0" pivotButton="0" quotePrefix="0" xfId="0"/>
    <xf numFmtId="0" fontId="9" fillId="8" borderId="0" pivotButton="0" quotePrefix="0" xfId="0"/>
    <xf numFmtId="0" fontId="8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8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0" customWidth="1" min="1" max="1"/>
    <col width="38" customWidth="1" min="2" max="2"/>
    <col width="20" customWidth="1" min="3" max="3"/>
    <col width="34" customWidth="1" min="4" max="4"/>
    <col width="12" customWidth="1" min="5" max="6"/>
    <col width="20" customWidth="1" min="7" max="7"/>
    <col width="46" customWidth="1" min="8" max="8"/>
  </cols>
  <sheetData>
    <row r="1" ht="28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Date Found</t>
        </is>
      </c>
      <c r="F1" s="1" t="inlineStr">
        <is>
          <t>Date Applied</t>
        </is>
      </c>
      <c r="G1" s="1" t="inlineStr">
        <is>
          <t>Email Confirmation</t>
        </is>
      </c>
      <c r="H1" s="1" t="inlineStr">
        <is>
          <t>Local Folder</t>
        </is>
      </c>
    </row>
    <row r="2">
      <c r="A2" s="2" t="inlineStr">
        <is>
          <t>Alvin College</t>
        </is>
      </c>
      <c r="B2" s="3" t="inlineStr">
        <is>
          <t>Faculty, Computer Technology (12 Month)</t>
        </is>
      </c>
      <c r="C2" s="4" t="inlineStr">
        <is>
          <t>blocked_removed</t>
        </is>
      </c>
      <c r="D2" s="2" t="inlineStr">
        <is>
          <t>Local system (job-search automation)</t>
        </is>
      </c>
      <c r="E2" s="2" t="inlineStr">
        <is>
          <t>2026-09-03</t>
        </is>
      </c>
      <c r="F2" s="2" t="n"/>
      <c r="G2" s="2" t="n"/>
      <c r="H2" s="2" t="n"/>
    </row>
    <row r="3">
      <c r="A3" s="5" t="inlineStr">
        <is>
          <t>Christopher Newport University</t>
        </is>
      </c>
      <c r="B3" s="6" t="inlineStr">
        <is>
          <t>Information Security Analyst</t>
        </is>
      </c>
      <c r="C3" s="7" t="inlineStr">
        <is>
          <t>interview</t>
        </is>
      </c>
      <c r="D3" s="5" t="inlineStr">
        <is>
          <t>Local system (job-search automation)</t>
        </is>
      </c>
      <c r="E3" s="5" t="inlineStr">
        <is>
          <t>2026-09-03</t>
        </is>
      </c>
      <c r="F3" s="5" t="n"/>
      <c r="G3" s="5" t="n"/>
      <c r="H3" s="5" t="inlineStr">
        <is>
          <t>2026-09-03_Christopher-Newport-University_Information-Security-Analyst\status.json</t>
        </is>
      </c>
    </row>
    <row r="4">
      <c r="A4" s="2" t="inlineStr">
        <is>
          <t>Horry-Georgetown Technical College</t>
        </is>
      </c>
      <c r="B4" s="3" t="inlineStr">
        <is>
          <t>Information Security Officer</t>
        </is>
      </c>
      <c r="C4" s="4" t="inlineStr">
        <is>
          <t>applied</t>
        </is>
      </c>
      <c r="D4" s="2" t="inlineStr">
        <is>
          <t>Local system (job-search automation)</t>
        </is>
      </c>
      <c r="E4" s="2" t="inlineStr">
        <is>
          <t>2026-09-03</t>
        </is>
      </c>
      <c r="F4" s="2" t="inlineStr">
        <is>
          <t>2026-09-05</t>
        </is>
      </c>
      <c r="G4" s="2" t="n"/>
      <c r="H4" s="2" t="inlineStr">
        <is>
          <t>2026-09-03_Horry-Georgetown-Technical-College_Information-Security-Officer\status.json</t>
        </is>
      </c>
    </row>
    <row r="5">
      <c r="A5" s="5" t="inlineStr">
        <is>
          <t>Rutgers, The State University of New Jersey</t>
        </is>
      </c>
      <c r="B5" s="6" t="inlineStr">
        <is>
          <t>Senior Incident Response Analyst</t>
        </is>
      </c>
      <c r="C5" s="4" t="inlineStr">
        <is>
          <t>not_pursuing</t>
        </is>
      </c>
      <c r="D5" s="5" t="inlineStr">
        <is>
          <t>Local system (job-search automation)</t>
        </is>
      </c>
      <c r="E5" s="5" t="inlineStr">
        <is>
          <t>2026-09-03</t>
        </is>
      </c>
      <c r="F5" s="5" t="n"/>
      <c r="G5" s="5" t="n"/>
      <c r="H5" s="5" t="inlineStr">
        <is>
          <t>2026-09-03_Rutgers-University_Senior-Incident-Response-Analyst\status.json</t>
        </is>
      </c>
    </row>
    <row r="6">
      <c r="A6" s="2" t="inlineStr">
        <is>
          <t>Dolby</t>
        </is>
      </c>
      <c r="B6" s="3" t="inlineStr">
        <is>
          <t>IT Audit Manager</t>
        </is>
      </c>
      <c r="C6" s="8" t="inlineStr">
        <is>
          <t>applied</t>
        </is>
      </c>
      <c r="D6" s="2" t="inlineStr">
        <is>
          <t>Email only (self-submitted, not tracked locally)</t>
        </is>
      </c>
      <c r="E6" s="2" t="inlineStr">
        <is>
          <t>2026-09-03</t>
        </is>
      </c>
      <c r="F6" s="2" t="inlineStr">
        <is>
          <t>2026-09-03</t>
        </is>
      </c>
      <c r="G6" s="2" t="inlineStr">
        <is>
          <t>Received</t>
        </is>
      </c>
      <c r="H6" s="2" t="n"/>
    </row>
    <row r="7">
      <c r="A7" s="5" t="inlineStr">
        <is>
          <t>Sallie Mae</t>
        </is>
      </c>
      <c r="B7" s="6" t="inlineStr">
        <is>
          <t>Senior Associate, Technology Audit</t>
        </is>
      </c>
      <c r="C7" s="8" t="inlineStr">
        <is>
          <t>applied</t>
        </is>
      </c>
      <c r="D7" s="5" t="inlineStr">
        <is>
          <t>Local system + email confirmed</t>
        </is>
      </c>
      <c r="E7" s="5" t="inlineStr">
        <is>
          <t>2026-08-31</t>
        </is>
      </c>
      <c r="F7" s="5" t="inlineStr">
        <is>
          <t>2026-09-02</t>
        </is>
      </c>
      <c r="G7" s="5" t="inlineStr">
        <is>
          <t>Received</t>
        </is>
      </c>
      <c r="H7" s="5" t="inlineStr">
        <is>
          <t>2026-08-31_Sallie-Mae_Senior-Associate-Technology-Audit\status.json</t>
        </is>
      </c>
    </row>
    <row r="8" ht="27" customHeight="1">
      <c r="A8" s="2" t="inlineStr">
        <is>
          <t>BNSF Railway</t>
        </is>
      </c>
      <c r="B8" s="3" t="inlineStr">
        <is>
          <t>Cybersecurity Engineer I/II (Vulnerability &amp; Patch Management) (Remote - US)</t>
        </is>
      </c>
      <c r="C8" s="9" t="inlineStr">
        <is>
          <t>applied_unverified</t>
        </is>
      </c>
      <c r="D8" s="2" t="inlineStr">
        <is>
          <t>Local system + email confirmed</t>
        </is>
      </c>
      <c r="E8" s="2" t="inlineStr">
        <is>
          <t>2026-09-01</t>
        </is>
      </c>
      <c r="F8" s="2" t="inlineStr">
        <is>
          <t>2026-09-02</t>
        </is>
      </c>
      <c r="G8" s="2" t="inlineStr">
        <is>
          <t>Received</t>
        </is>
      </c>
      <c r="H8" s="2" t="inlineStr">
        <is>
          <t>2026-09-01_BNSF-Railway_Cybersecurity-Engineer-Vulnerability-Patch-Management\status.json</t>
        </is>
      </c>
    </row>
    <row r="9">
      <c r="A9" s="5" t="inlineStr">
        <is>
          <t>CIG Companies Services</t>
        </is>
      </c>
      <c r="B9" s="6" t="inlineStr">
        <is>
          <t>Manager, Cybersecurity</t>
        </is>
      </c>
      <c r="C9" s="8" t="inlineStr">
        <is>
          <t>applied</t>
        </is>
      </c>
      <c r="D9" s="5" t="inlineStr">
        <is>
          <t>Email only (self-submitted, not tracked locally)</t>
        </is>
      </c>
      <c r="E9" s="5" t="inlineStr">
        <is>
          <t>2026-09-02</t>
        </is>
      </c>
      <c r="F9" s="5" t="inlineStr">
        <is>
          <t>2026-09-02</t>
        </is>
      </c>
      <c r="G9" s="5" t="inlineStr">
        <is>
          <t>Received</t>
        </is>
      </c>
      <c r="H9" s="5" t="n"/>
    </row>
    <row r="10">
      <c r="A10" s="2" t="inlineStr">
        <is>
          <t>Allina Health</t>
        </is>
      </c>
      <c r="B10" s="3" t="inlineStr">
        <is>
          <t>Manager Information Security</t>
        </is>
      </c>
      <c r="C10" s="9" t="inlineStr">
        <is>
          <t>needs_manual_completion</t>
        </is>
      </c>
      <c r="D10" s="2" t="inlineStr">
        <is>
          <t>Local system (job-search automation)</t>
        </is>
      </c>
      <c r="E10" s="2" t="inlineStr">
        <is>
          <t>2026-09-01</t>
        </is>
      </c>
      <c r="F10" s="2" t="n"/>
      <c r="G10" s="2" t="n"/>
      <c r="H10" s="2" t="inlineStr">
        <is>
          <t>2026-09-01_Allina-Health_Manager-Information-Security\status.json</t>
        </is>
      </c>
    </row>
    <row r="11">
      <c r="A11" s="5" t="inlineStr">
        <is>
          <t>Carey International Group, LLC</t>
        </is>
      </c>
      <c r="B11" s="6" t="inlineStr">
        <is>
          <t>Manager, Cybersecurity</t>
        </is>
      </c>
      <c r="C11" s="4" t="inlineStr">
        <is>
          <t>not_pursuing</t>
        </is>
      </c>
      <c r="D11" s="5" t="inlineStr">
        <is>
          <t>Local system (job-search automation)</t>
        </is>
      </c>
      <c r="E11" s="5" t="inlineStr">
        <is>
          <t>2026-09-01</t>
        </is>
      </c>
      <c r="F11" s="5" t="n"/>
      <c r="G11" s="5" t="n"/>
      <c r="H11" s="5" t="inlineStr">
        <is>
          <t>2026-09-01_Carey-International-Group_Manager-Cybersecurity\status.json</t>
        </is>
      </c>
    </row>
    <row r="12" ht="40.5" customHeight="1">
      <c r="A12" s="2" t="inlineStr">
        <is>
          <t>City Colleges of Chicago — Olive-Harvey College</t>
        </is>
      </c>
      <c r="B12" s="3" t="inlineStr">
        <is>
          <t>Full-Time Tenure Track Faculty — Computer Information Systems (Cybersecurity)</t>
        </is>
      </c>
      <c r="C12" s="4" t="inlineStr">
        <is>
          <t>staged</t>
        </is>
      </c>
      <c r="D12" s="2" t="inlineStr">
        <is>
          <t>Local system + email confirmed</t>
        </is>
      </c>
      <c r="E12" s="2" t="inlineStr">
        <is>
          <t>2026-09-01</t>
        </is>
      </c>
      <c r="F12" s="2" t="n"/>
      <c r="G12" s="2" t="inlineStr">
        <is>
          <t>Received</t>
        </is>
      </c>
      <c r="H12" s="2" t="inlineStr">
        <is>
          <t>2026-09-01_City-Colleges-of-Chicago_Full-Time-Faculty-CIS-Cybersecurity\status.json</t>
        </is>
      </c>
    </row>
    <row r="13">
      <c r="A13" s="5" t="inlineStr">
        <is>
          <t>Hewlett Packard Enterprise (HPE)</t>
        </is>
      </c>
      <c r="B13" s="6" t="inlineStr">
        <is>
          <t>Cybersecurity Operations &amp; Enablement</t>
        </is>
      </c>
      <c r="C13" s="9" t="inlineStr">
        <is>
          <t>closed</t>
        </is>
      </c>
      <c r="D13" s="5" t="inlineStr">
        <is>
          <t>Local system (job-search automation)</t>
        </is>
      </c>
      <c r="E13" s="5" t="inlineStr">
        <is>
          <t>2026-09-01</t>
        </is>
      </c>
      <c r="F13" s="5" t="n"/>
      <c r="G13" s="5" t="n"/>
      <c r="H13" s="5" t="inlineStr">
        <is>
          <t>2026-09-01_HPE_Cybersecurity-Operations-Enablement\status.json</t>
        </is>
      </c>
    </row>
    <row r="14" ht="27" customHeight="1">
      <c r="A14" s="2" t="inlineStr">
        <is>
          <t>Hewlett Packard Enterprise (HPE)</t>
        </is>
      </c>
      <c r="B14" s="3" t="inlineStr">
        <is>
          <t>Senior Cybersecurity Transformation Lead (Enterprise Programs)</t>
        </is>
      </c>
      <c r="C14" s="4" t="inlineStr">
        <is>
          <t>not_pursuing</t>
        </is>
      </c>
      <c r="D14" s="2" t="inlineStr">
        <is>
          <t>Local system (job-search automation)</t>
        </is>
      </c>
      <c r="E14" s="2" t="inlineStr">
        <is>
          <t>2026-09-01</t>
        </is>
      </c>
      <c r="F14" s="2" t="n"/>
      <c r="G14" s="2" t="n"/>
      <c r="H14" s="2" t="inlineStr">
        <is>
          <t>2026-09-01_HPE_Senior-Cybersecurity-Transformation-Lead-Enterprise-Programs\status.json</t>
        </is>
      </c>
    </row>
    <row r="15" ht="27" customHeight="1">
      <c r="A15" s="5" t="inlineStr">
        <is>
          <t>Hewlett Packard Enterprise (HPE)</t>
        </is>
      </c>
      <c r="B15" s="6" t="inlineStr">
        <is>
          <t>Senior Manager, Enterprise OS &amp; Virtualization</t>
        </is>
      </c>
      <c r="C15" s="4" t="inlineStr">
        <is>
          <t>not_pursuing</t>
        </is>
      </c>
      <c r="D15" s="5" t="inlineStr">
        <is>
          <t>Local system (job-search automation)</t>
        </is>
      </c>
      <c r="E15" s="5" t="inlineStr">
        <is>
          <t>2026-09-01</t>
        </is>
      </c>
      <c r="F15" s="5" t="n"/>
      <c r="G15" s="5" t="n"/>
      <c r="H15" s="5" t="inlineStr">
        <is>
          <t>2026-09-01_HPE_Senior-Manager-Enterprise-OS-Virtualization\status.json</t>
        </is>
      </c>
    </row>
    <row r="16">
      <c r="A16" s="2" t="inlineStr">
        <is>
          <t>KLA</t>
        </is>
      </c>
      <c r="B16" s="3" t="inlineStr">
        <is>
          <t>Digital Forensics &amp; eDiscovery Manager</t>
        </is>
      </c>
      <c r="C16" s="4" t="inlineStr">
        <is>
          <t>applied</t>
        </is>
      </c>
      <c r="D16" s="2" t="inlineStr">
        <is>
          <t>Local system (job-search automation)</t>
        </is>
      </c>
      <c r="E16" s="2" t="inlineStr">
        <is>
          <t>2026-09-01</t>
        </is>
      </c>
      <c r="F16" s="2" t="n"/>
      <c r="G16" s="2" t="n"/>
      <c r="H16" s="2" t="inlineStr">
        <is>
          <t>2026-09-01_KLA_Digital-Forensics-eDiscovery-Manager\status.json</t>
        </is>
      </c>
    </row>
    <row r="17">
      <c r="A17" s="5" t="inlineStr">
        <is>
          <t>KLA</t>
        </is>
      </c>
      <c r="B17" s="6" t="inlineStr">
        <is>
          <t>IT Cybersecurity Operations Manager</t>
        </is>
      </c>
      <c r="C17" s="4" t="inlineStr">
        <is>
          <t>applied</t>
        </is>
      </c>
      <c r="D17" s="5" t="inlineStr">
        <is>
          <t>Local system (job-search automation)</t>
        </is>
      </c>
      <c r="E17" s="5" t="inlineStr">
        <is>
          <t>2026-09-01</t>
        </is>
      </c>
      <c r="F17" s="5" t="n"/>
      <c r="G17" s="5" t="n"/>
      <c r="H17" s="5" t="inlineStr">
        <is>
          <t>2026-09-01_KLA_IT-Cybersecurity-Operations-Manager\status.json</t>
        </is>
      </c>
    </row>
    <row r="18">
      <c r="A18" s="2" t="inlineStr">
        <is>
          <t>Lumiture</t>
        </is>
      </c>
      <c r="B18" s="3" t="inlineStr">
        <is>
          <t>Cyber Security Analyst</t>
        </is>
      </c>
      <c r="C18" s="4" t="inlineStr">
        <is>
          <t>applied</t>
        </is>
      </c>
      <c r="D18" s="2" t="inlineStr">
        <is>
          <t>Local system (job-search automation)</t>
        </is>
      </c>
      <c r="E18" s="2" t="inlineStr">
        <is>
          <t>2026-09-01</t>
        </is>
      </c>
      <c r="F18" s="2" t="inlineStr">
        <is>
          <t>2026-09-03</t>
        </is>
      </c>
      <c r="G18" s="2" t="n"/>
      <c r="H18" s="2" t="inlineStr">
        <is>
          <t>2026-09-01_Lumiture_Cyber-Security-Analyst\status.json</t>
        </is>
      </c>
    </row>
    <row r="19" ht="27" customHeight="1">
      <c r="A19" s="5" t="inlineStr">
        <is>
          <t>Nebius</t>
        </is>
      </c>
      <c r="B19" s="6" t="inlineStr">
        <is>
          <t>Technical Account Manager - Token Factory</t>
        </is>
      </c>
      <c r="C19" s="4" t="inlineStr">
        <is>
          <t>rejected</t>
        </is>
      </c>
      <c r="D19" s="5" t="inlineStr">
        <is>
          <t>Local system (job-search automation)</t>
        </is>
      </c>
      <c r="E19" s="5" t="inlineStr">
        <is>
          <t>2026-09-01</t>
        </is>
      </c>
      <c r="F19" s="5" t="inlineStr">
        <is>
          <t>2026-09-04</t>
        </is>
      </c>
      <c r="G19" s="5" t="n"/>
      <c r="H19" s="5" t="inlineStr">
        <is>
          <t>2026-09-01_Nebius_Technical-Account-Manager-Token-Factory\status.json</t>
        </is>
      </c>
    </row>
    <row r="20">
      <c r="A20" s="2" t="inlineStr">
        <is>
          <t>New Resources Consulting (client direct-hire)</t>
        </is>
      </c>
      <c r="B20" s="3" t="inlineStr">
        <is>
          <t>IT Cybersecurity Engineer</t>
        </is>
      </c>
      <c r="C20" s="4" t="inlineStr">
        <is>
          <t>applied</t>
        </is>
      </c>
      <c r="D20" s="2" t="inlineStr">
        <is>
          <t>Local system (job-search automation)</t>
        </is>
      </c>
      <c r="E20" s="2" t="inlineStr">
        <is>
          <t>2026-09-01</t>
        </is>
      </c>
      <c r="F20" s="2" t="inlineStr">
        <is>
          <t>2026-09-05</t>
        </is>
      </c>
      <c r="G20" s="2" t="n"/>
      <c r="H20" s="2" t="inlineStr">
        <is>
          <t>2026-09-01_New-Resources-Consulting_IT-Cybersecurity-Engineer\status.json</t>
        </is>
      </c>
    </row>
    <row r="21" ht="27" customHeight="1">
      <c r="A21" s="5" t="inlineStr">
        <is>
          <t>SGMC Health</t>
        </is>
      </c>
      <c r="B21" s="6" t="inlineStr">
        <is>
          <t>Network Security Analyst, Information Services</t>
        </is>
      </c>
      <c r="C21" s="4" t="inlineStr">
        <is>
          <t>closed</t>
        </is>
      </c>
      <c r="D21" s="5" t="inlineStr">
        <is>
          <t>Local system (job-search automation)</t>
        </is>
      </c>
      <c r="E21" s="5" t="inlineStr">
        <is>
          <t>2026-09-01</t>
        </is>
      </c>
      <c r="F21" s="5" t="n"/>
      <c r="G21" s="5" t="n"/>
      <c r="H21" s="5" t="inlineStr">
        <is>
          <t>2026-09-01_SGMC-Health_Network-Security-Analyst\status.json</t>
        </is>
      </c>
    </row>
    <row r="22" ht="27" customHeight="1">
      <c r="A22" s="2" t="inlineStr">
        <is>
          <t>Travelers</t>
        </is>
      </c>
      <c r="B22" s="3" t="inlineStr">
        <is>
          <t>Cybersecurity Ops Technologist - Splunk SIEM Engineer (R-51597)</t>
        </is>
      </c>
      <c r="C22" s="4" t="inlineStr">
        <is>
          <t>staged</t>
        </is>
      </c>
      <c r="D22" s="2" t="inlineStr">
        <is>
          <t>Local system (job-search automation)</t>
        </is>
      </c>
      <c r="E22" s="2" t="inlineStr">
        <is>
          <t>2026-09-01</t>
        </is>
      </c>
      <c r="F22" s="2" t="n"/>
      <c r="G22" s="2" t="n"/>
      <c r="H22" s="2" t="inlineStr">
        <is>
          <t>2026-09-01_Travelers_Cybersecurity-Ops-Technologist-Splunk-SIEM-Engineer\status.json</t>
        </is>
      </c>
    </row>
    <row r="23" ht="40.5" customHeight="1">
      <c r="A23" s="5" t="inlineStr">
        <is>
          <t>Optum / UnitedHealth Group</t>
        </is>
      </c>
      <c r="B23" s="6" t="inlineStr">
        <is>
          <t>AI Security Governance Operations Specialist (listed as 'Information Security Governance Operations Support Analyst')</t>
        </is>
      </c>
      <c r="C23" s="4" t="inlineStr">
        <is>
          <t>closed</t>
        </is>
      </c>
      <c r="D23" s="5" t="inlineStr">
        <is>
          <t>Local system (job-search automation)</t>
        </is>
      </c>
      <c r="E23" s="5" t="inlineStr">
        <is>
          <t>2026-09-01</t>
        </is>
      </c>
      <c r="F23" s="5" t="n"/>
      <c r="G23" s="5" t="n"/>
      <c r="H23" s="5" t="inlineStr">
        <is>
          <t>2026-09-01_UnitedHealth-Optum_AI-Security-Governance-Operations-Specialist\status.json</t>
        </is>
      </c>
    </row>
    <row r="24" ht="27" customHeight="1">
      <c r="A24" s="2" t="inlineStr">
        <is>
          <t>University of Louisville</t>
        </is>
      </c>
      <c r="B24" s="3" t="inlineStr">
        <is>
          <t>IT Systems Engineer V (Cybersecurity Engineer) — R109233</t>
        </is>
      </c>
      <c r="C24" s="4" t="inlineStr">
        <is>
          <t>Applied (auto-submission via Simplify)</t>
        </is>
      </c>
      <c r="D24" s="2" t="inlineStr">
        <is>
          <t>Local system (job-search automation)</t>
        </is>
      </c>
      <c r="E24" s="2" t="inlineStr">
        <is>
          <t>2026-09-01</t>
        </is>
      </c>
      <c r="F24" s="2" t="inlineStr">
        <is>
          <t>2026-09-04</t>
        </is>
      </c>
      <c r="G24" s="2" t="inlineStr">
        <is>
          <t>Discovered via Workday page banner: already applied 9/4/2026 via Simplify</t>
        </is>
      </c>
      <c r="H24" s="2" t="inlineStr">
        <is>
          <t>applications/2026-09-06_University-of-Louisville_IT-Systems-Engineer-V-Cybersecurity-Engineer-discovered</t>
        </is>
      </c>
    </row>
    <row r="25">
      <c r="A25" s="5" t="inlineStr">
        <is>
          <t>University of New Hampshire</t>
        </is>
      </c>
      <c r="B25" s="6" t="inlineStr">
        <is>
          <t>Cybersecurity Operations Engineer</t>
        </is>
      </c>
      <c r="C25" s="4" t="inlineStr">
        <is>
          <t>applied</t>
        </is>
      </c>
      <c r="D25" s="5" t="inlineStr">
        <is>
          <t>Local system (job-search automation)</t>
        </is>
      </c>
      <c r="E25" s="5" t="inlineStr">
        <is>
          <t>2026-09-01</t>
        </is>
      </c>
      <c r="F25" s="5" t="inlineStr">
        <is>
          <t>2026-09-04</t>
        </is>
      </c>
      <c r="G25" s="5" t="n"/>
      <c r="H25" s="5" t="inlineStr">
        <is>
          <t>2026-09-01_University-of-New-Hampshire_Cybersecurity-Operations-Engineer\status.json</t>
        </is>
      </c>
    </row>
    <row r="26" ht="27" customHeight="1">
      <c r="A26" s="2" t="inlineStr">
        <is>
          <t>University of Wisconsin - Madison</t>
        </is>
      </c>
      <c r="B26" s="3" t="inlineStr">
        <is>
          <t>Cybersecurity Analyst — College of Agricultural and Life Sciences (CALS)</t>
        </is>
      </c>
      <c r="C26" s="4" t="inlineStr">
        <is>
          <t>applied</t>
        </is>
      </c>
      <c r="D26" s="2" t="inlineStr">
        <is>
          <t>Local system + email confirmed</t>
        </is>
      </c>
      <c r="E26" s="2" t="inlineStr">
        <is>
          <t>2026-09-01</t>
        </is>
      </c>
      <c r="F26" s="2" t="inlineStr">
        <is>
          <t>2026-09-05</t>
        </is>
      </c>
      <c r="G26" s="2" t="inlineStr">
        <is>
          <t>Received</t>
        </is>
      </c>
      <c r="H26" s="2" t="inlineStr">
        <is>
          <t>2026-09-01_University-of-Wisconsin-Madison_Cybersecurity-Analyst\status.json</t>
        </is>
      </c>
    </row>
    <row r="27" ht="27" customHeight="1">
      <c r="A27" s="5" t="inlineStr">
        <is>
          <t>University of Wisconsin - Madison</t>
        </is>
      </c>
      <c r="B27" s="6" t="inlineStr">
        <is>
          <t>Information Systems and Web Application Security Analyst — School of Pharmacy</t>
        </is>
      </c>
      <c r="C27" s="4" t="inlineStr">
        <is>
          <t>applied</t>
        </is>
      </c>
      <c r="D27" s="5" t="inlineStr">
        <is>
          <t>Local system (job-search automation)</t>
        </is>
      </c>
      <c r="E27" s="5" t="inlineStr">
        <is>
          <t>2026-09-01</t>
        </is>
      </c>
      <c r="F27" s="5" t="inlineStr">
        <is>
          <t>2026-09-03</t>
        </is>
      </c>
      <c r="G27" s="5" t="n"/>
      <c r="H27" s="5" t="inlineStr">
        <is>
          <t>2026-09-01_University-of-Wisconsin-Madison_Information-Systems-and-Web-Application-Security-Analyst\status.json</t>
        </is>
      </c>
    </row>
    <row r="28" ht="27" customHeight="1">
      <c r="A28" s="2" t="inlineStr">
        <is>
          <t>Verisign</t>
        </is>
      </c>
      <c r="B28" s="3" t="inlineStr">
        <is>
          <t>Manager - Information Security Compliance</t>
        </is>
      </c>
      <c r="C28" s="4" t="inlineStr">
        <is>
          <t>applied</t>
        </is>
      </c>
      <c r="D28" s="2" t="inlineStr">
        <is>
          <t>Local system (job-search automation)</t>
        </is>
      </c>
      <c r="E28" s="2" t="inlineStr">
        <is>
          <t>2026-09-01</t>
        </is>
      </c>
      <c r="F28" s="2" t="inlineStr">
        <is>
          <t>2026-09-05</t>
        </is>
      </c>
      <c r="G28" s="2" t="n"/>
      <c r="H28" s="2" t="inlineStr">
        <is>
          <t>2026-09-01_Verisign_Manager-Information-Security-Compliance\status.json</t>
        </is>
      </c>
    </row>
    <row r="29" ht="27" customHeight="1">
      <c r="A29" s="5" t="inlineStr">
        <is>
          <t>Veritis Group Inc</t>
        </is>
      </c>
      <c r="B29" s="6" t="inlineStr">
        <is>
          <t>Technology &amp; Cybersecurity Risk Management Analyst</t>
        </is>
      </c>
      <c r="C29" s="4" t="inlineStr">
        <is>
          <t>closed</t>
        </is>
      </c>
      <c r="D29" s="5" t="inlineStr">
        <is>
          <t>Local system (job-search automation)</t>
        </is>
      </c>
      <c r="E29" s="5" t="inlineStr">
        <is>
          <t>2026-09-01</t>
        </is>
      </c>
      <c r="F29" s="5" t="n"/>
      <c r="G29" s="5" t="n"/>
      <c r="H29" s="5" t="inlineStr">
        <is>
          <t>2026-09-01_Veritis-Group_Technology-Cybersecurity-Risk-Management-Analyst\status.json</t>
        </is>
      </c>
    </row>
    <row r="30">
      <c r="A30" s="2" t="inlineStr">
        <is>
          <t>Georgia Gwinnett College</t>
        </is>
      </c>
      <c r="B30" s="3" t="inlineStr">
        <is>
          <t>Security Operations Center (SOC) Lead</t>
        </is>
      </c>
      <c r="C30" s="9" t="inlineStr">
        <is>
          <t>needs_manual_completion</t>
        </is>
      </c>
      <c r="D30" s="2" t="inlineStr">
        <is>
          <t>Local system (job-search automation)</t>
        </is>
      </c>
      <c r="E30" s="2" t="inlineStr">
        <is>
          <t>2026-08-31</t>
        </is>
      </c>
      <c r="F30" s="2" t="n"/>
      <c r="G30" s="2" t="n"/>
      <c r="H30" s="2" t="inlineStr">
        <is>
          <t>2026-08-31_Georgia-Gwinnett-College_Security-Operations-Center-SOC-Lead\status.json</t>
        </is>
      </c>
    </row>
    <row r="31">
      <c r="A31" s="5" t="inlineStr">
        <is>
          <t>Southern New Hampshire University</t>
        </is>
      </c>
      <c r="B31" s="6" t="inlineStr">
        <is>
          <t>IAM Engineer</t>
        </is>
      </c>
      <c r="C31" s="9" t="inlineStr">
        <is>
          <t>not_pursuing</t>
        </is>
      </c>
      <c r="D31" s="5" t="inlineStr">
        <is>
          <t>Local system (job-search automation)</t>
        </is>
      </c>
      <c r="E31" s="5" t="inlineStr">
        <is>
          <t>2026-08-31</t>
        </is>
      </c>
      <c r="F31" s="5" t="n"/>
      <c r="G31" s="5" t="n"/>
      <c r="H31" s="5" t="inlineStr">
        <is>
          <t>2026-08-31_Southern-New-Hampshire-University_IAM-Engineer\status.json</t>
        </is>
      </c>
    </row>
    <row r="32" ht="27" customHeight="1">
      <c r="A32" s="2" t="inlineStr">
        <is>
          <t>Princeton University</t>
        </is>
      </c>
      <c r="B32" s="3" t="inlineStr">
        <is>
          <t>IT Risk &amp; Information Security Analyst (University Services)</t>
        </is>
      </c>
      <c r="C32" s="8" t="inlineStr">
        <is>
          <t>applied</t>
        </is>
      </c>
      <c r="D32" s="2" t="inlineStr">
        <is>
          <t>Local system (job-search automation)</t>
        </is>
      </c>
      <c r="E32" s="2" t="inlineStr">
        <is>
          <t>2026-08-22</t>
        </is>
      </c>
      <c r="F32" s="2" t="inlineStr">
        <is>
          <t>2026-08-30</t>
        </is>
      </c>
      <c r="G32" s="2" t="n"/>
      <c r="H32" s="2" t="inlineStr">
        <is>
          <t>2026-08-22_Princeton-University_IT-Risk-and-Information-Security-Analyst\status.json</t>
        </is>
      </c>
    </row>
    <row r="33">
      <c r="A33" s="5" t="inlineStr">
        <is>
          <t>Albany Medical Center</t>
        </is>
      </c>
      <c r="B33" s="6" t="inlineStr">
        <is>
          <t>IT Security Manager</t>
        </is>
      </c>
      <c r="C33" s="8" t="inlineStr">
        <is>
          <t>applied</t>
        </is>
      </c>
      <c r="D33" s="5" t="inlineStr">
        <is>
          <t>Local system + email confirmed</t>
        </is>
      </c>
      <c r="E33" s="5" t="inlineStr">
        <is>
          <t>2026-08-29</t>
        </is>
      </c>
      <c r="F33" s="5" t="inlineStr">
        <is>
          <t>2026-08-30</t>
        </is>
      </c>
      <c r="G33" s="5" t="inlineStr">
        <is>
          <t>Rejected</t>
        </is>
      </c>
      <c r="H33" s="5" t="inlineStr">
        <is>
          <t>2026-08-29_Albany-Medical-Center_IT-Security-Manager\status.json</t>
        </is>
      </c>
    </row>
    <row r="34">
      <c r="A34" s="2" t="inlineStr">
        <is>
          <t>IBM</t>
        </is>
      </c>
      <c r="B34" s="3" t="inlineStr">
        <is>
          <t>Advisory Data Scientist, IBM Quantum</t>
        </is>
      </c>
      <c r="C34" s="10" t="inlineStr">
        <is>
          <t>rejected</t>
        </is>
      </c>
      <c r="D34" s="2" t="inlineStr">
        <is>
          <t>Local system + email confirmed</t>
        </is>
      </c>
      <c r="E34" s="2" t="inlineStr">
        <is>
          <t>2026-08-29</t>
        </is>
      </c>
      <c r="F34" s="2" t="inlineStr">
        <is>
          <t>2026-08-30</t>
        </is>
      </c>
      <c r="G34" s="2" t="inlineStr">
        <is>
          <t>Received</t>
        </is>
      </c>
      <c r="H34" s="2" t="inlineStr">
        <is>
          <t>2026-08-29_IBM_Advisory-Data-Scientist-IBM-Quantum\status.json</t>
        </is>
      </c>
    </row>
    <row r="35" ht="40.5" customHeight="1">
      <c r="A35" s="5" t="inlineStr">
        <is>
          <t>The MITRE Corporation</t>
        </is>
      </c>
      <c r="B35" s="6" t="inlineStr">
        <is>
          <t>Internships in Cybersecurity and Information Security (general talent pool, not a specific role)</t>
        </is>
      </c>
      <c r="C35" s="8" t="inlineStr">
        <is>
          <t>applied</t>
        </is>
      </c>
      <c r="D35" s="5" t="inlineStr">
        <is>
          <t>Local system (job-search automation)</t>
        </is>
      </c>
      <c r="E35" s="5" t="inlineStr">
        <is>
          <t>2026-08-29</t>
        </is>
      </c>
      <c r="F35" s="5" t="inlineStr">
        <is>
          <t>2026-08-30</t>
        </is>
      </c>
      <c r="G35" s="5" t="n"/>
      <c r="H35" s="5" t="inlineStr">
        <is>
          <t>2026-08-29_MITRE-Corporation_Cybersecurity-Internship\status.json</t>
        </is>
      </c>
    </row>
    <row r="36" ht="27" customHeight="1">
      <c r="A36" s="2" t="inlineStr">
        <is>
          <t>Nebius</t>
        </is>
      </c>
      <c r="B36" s="3" t="inlineStr">
        <is>
          <t>DC Operations Manager - Critical Infrastructure</t>
        </is>
      </c>
      <c r="C36" s="8" t="inlineStr">
        <is>
          <t>applied</t>
        </is>
      </c>
      <c r="D36" s="2" t="inlineStr">
        <is>
          <t>Local system + email confirmed</t>
        </is>
      </c>
      <c r="E36" s="2" t="inlineStr">
        <is>
          <t>2026-08-30</t>
        </is>
      </c>
      <c r="F36" s="2" t="inlineStr">
        <is>
          <t>2026-08-30</t>
        </is>
      </c>
      <c r="G36" s="2" t="inlineStr">
        <is>
          <t>Received</t>
        </is>
      </c>
      <c r="H36" s="2" t="inlineStr">
        <is>
          <t>2026-08-30_Nebius_DC-Operations-Manager-Critical-Infrastructure\status.json</t>
        </is>
      </c>
    </row>
    <row r="37">
      <c r="A37" s="5" t="inlineStr">
        <is>
          <t>Nebius</t>
        </is>
      </c>
      <c r="B37" s="6" t="inlineStr">
        <is>
          <t>IT Risks &amp; Control Manager</t>
        </is>
      </c>
      <c r="C37" s="8" t="inlineStr">
        <is>
          <t>applied</t>
        </is>
      </c>
      <c r="D37" s="5" t="inlineStr">
        <is>
          <t>Local system (job-search automation)</t>
        </is>
      </c>
      <c r="E37" s="5" t="inlineStr">
        <is>
          <t>2026-08-30</t>
        </is>
      </c>
      <c r="F37" s="5" t="inlineStr">
        <is>
          <t>2026-08-30</t>
        </is>
      </c>
      <c r="G37" s="5" t="n"/>
      <c r="H37" s="5" t="inlineStr">
        <is>
          <t>2026-08-30_Nebius_IT-Risks-Control-Manager\status.json</t>
        </is>
      </c>
    </row>
    <row r="38">
      <c r="A38" s="2" t="inlineStr">
        <is>
          <t>Team Cymru</t>
        </is>
      </c>
      <c r="B38" s="3" t="inlineStr">
        <is>
          <t>Technical Trainer - Curriculum Developer</t>
        </is>
      </c>
      <c r="C38" s="8" t="inlineStr">
        <is>
          <t>applied</t>
        </is>
      </c>
      <c r="D38" s="2" t="inlineStr">
        <is>
          <t>Local system (job-search automation)</t>
        </is>
      </c>
      <c r="E38" s="2" t="inlineStr">
        <is>
          <t>2026-08-30</t>
        </is>
      </c>
      <c r="F38" s="2" t="inlineStr">
        <is>
          <t>2026-08-30</t>
        </is>
      </c>
      <c r="G38" s="2" t="n"/>
      <c r="H38" s="2" t="inlineStr">
        <is>
          <t>2026-08-30_Team-Cymru_Technical-Trainer-Curriculum-Developer\status.json</t>
        </is>
      </c>
    </row>
    <row r="39" ht="27" customHeight="1">
      <c r="A39" s="5" t="inlineStr">
        <is>
          <t>Wake Technical Community College</t>
        </is>
      </c>
      <c r="B39" s="6" t="inlineStr">
        <is>
          <t>Instructor 9M Cybersecurity, Digital Forensics</t>
        </is>
      </c>
      <c r="C39" s="4" t="inlineStr">
        <is>
          <t>not_pursuing</t>
        </is>
      </c>
      <c r="D39" s="5" t="inlineStr">
        <is>
          <t>Local system (job-search automation)</t>
        </is>
      </c>
      <c r="E39" s="5" t="inlineStr">
        <is>
          <t>2026-08-30</t>
        </is>
      </c>
      <c r="F39" s="5" t="n"/>
      <c r="G39" s="5" t="n"/>
      <c r="H39" s="5" t="inlineStr">
        <is>
          <t>2026-08-30_Wake-Technical-Community-College_Instructor-Cybersecurity-Digital-Forensics\status.json</t>
        </is>
      </c>
    </row>
    <row r="40">
      <c r="A40" s="2" t="inlineStr">
        <is>
          <t>Aquent | Skill</t>
        </is>
      </c>
      <c r="B40" s="3" t="inlineStr">
        <is>
          <t>Fraud Analytics &amp; Strategy Manager</t>
        </is>
      </c>
      <c r="C40" s="8" t="inlineStr">
        <is>
          <t>applied</t>
        </is>
      </c>
      <c r="D40" s="2" t="inlineStr">
        <is>
          <t>Email only (self-submitted, not tracked locally)</t>
        </is>
      </c>
      <c r="E40" s="2" t="inlineStr">
        <is>
          <t>2026-08-30</t>
        </is>
      </c>
      <c r="F40" s="2" t="inlineStr">
        <is>
          <t>2026-08-30</t>
        </is>
      </c>
      <c r="G40" s="2" t="inlineStr">
        <is>
          <t>Received</t>
        </is>
      </c>
      <c r="H40" s="2" t="n"/>
    </row>
    <row r="41">
      <c r="A41" s="5" t="inlineStr">
        <is>
          <t>Aquent | Skill</t>
        </is>
      </c>
      <c r="B41" s="6" t="inlineStr">
        <is>
          <t>IT - Cyber Security Developer</t>
        </is>
      </c>
      <c r="C41" s="8" t="inlineStr">
        <is>
          <t>applied</t>
        </is>
      </c>
      <c r="D41" s="5" t="inlineStr">
        <is>
          <t>Email only (self-submitted, not tracked locally)</t>
        </is>
      </c>
      <c r="E41" s="5" t="inlineStr">
        <is>
          <t>2026-08-30</t>
        </is>
      </c>
      <c r="F41" s="5" t="inlineStr">
        <is>
          <t>2026-08-30</t>
        </is>
      </c>
      <c r="G41" s="5" t="inlineStr">
        <is>
          <t>Received</t>
        </is>
      </c>
      <c r="H41" s="5" t="n"/>
    </row>
    <row r="42">
      <c r="A42" s="2" t="inlineStr">
        <is>
          <t>Spectrum Comm Inc</t>
        </is>
      </c>
      <c r="B42" s="3" t="inlineStr">
        <is>
          <t>Systems Analyst</t>
        </is>
      </c>
      <c r="C42" s="10" t="inlineStr">
        <is>
          <t>rejected</t>
        </is>
      </c>
      <c r="D42" s="2" t="inlineStr">
        <is>
          <t>Email only (self-submitted, not tracked locally)</t>
        </is>
      </c>
      <c r="E42" s="2" t="inlineStr">
        <is>
          <t>2026-08-30</t>
        </is>
      </c>
      <c r="F42" s="2" t="inlineStr">
        <is>
          <t>2026-08-30</t>
        </is>
      </c>
      <c r="G42" s="2" t="inlineStr">
        <is>
          <t>Rejected</t>
        </is>
      </c>
      <c r="H42" s="2" t="n"/>
    </row>
    <row r="43">
      <c r="A43" s="5" t="inlineStr">
        <is>
          <t>MetroStar</t>
        </is>
      </c>
      <c r="B43" s="6" t="inlineStr">
        <is>
          <t>(role not specified in confirmation)</t>
        </is>
      </c>
      <c r="C43" s="8" t="inlineStr">
        <is>
          <t>applied</t>
        </is>
      </c>
      <c r="D43" s="5" t="inlineStr">
        <is>
          <t>Email only (self-submitted, not tracked locally)</t>
        </is>
      </c>
      <c r="E43" s="5" t="inlineStr">
        <is>
          <t>2026-08-30</t>
        </is>
      </c>
      <c r="F43" s="5" t="inlineStr">
        <is>
          <t>2026-08-30</t>
        </is>
      </c>
      <c r="G43" s="5" t="inlineStr">
        <is>
          <t>Received</t>
        </is>
      </c>
      <c r="H43" s="5" t="n"/>
    </row>
    <row r="44">
      <c r="A44" s="2" t="inlineStr">
        <is>
          <t>Iron Bow Technologies</t>
        </is>
      </c>
      <c r="B44" s="3" t="inlineStr">
        <is>
          <t>PKI, Cryptography and Zero Trust Architect</t>
        </is>
      </c>
      <c r="C44" s="8" t="inlineStr">
        <is>
          <t>applied</t>
        </is>
      </c>
      <c r="D44" s="2" t="inlineStr">
        <is>
          <t>Email only (self-submitted, not tracked locally)</t>
        </is>
      </c>
      <c r="E44" s="2" t="inlineStr">
        <is>
          <t>2026-08-30</t>
        </is>
      </c>
      <c r="F44" s="2" t="inlineStr">
        <is>
          <t>2026-08-30</t>
        </is>
      </c>
      <c r="G44" s="2" t="inlineStr">
        <is>
          <t>Received</t>
        </is>
      </c>
      <c r="H44" s="2" t="n"/>
    </row>
    <row r="45">
      <c r="A45" s="5" t="inlineStr">
        <is>
          <t>Iron Bow Technologies</t>
        </is>
      </c>
      <c r="B45" s="6" t="inlineStr">
        <is>
          <t>Post-Quantum Cryptography Specialist</t>
        </is>
      </c>
      <c r="C45" s="8" t="inlineStr">
        <is>
          <t>applied</t>
        </is>
      </c>
      <c r="D45" s="5" t="inlineStr">
        <is>
          <t>Email only (self-submitted, not tracked locally)</t>
        </is>
      </c>
      <c r="E45" s="5" t="inlineStr">
        <is>
          <t>2026-08-30</t>
        </is>
      </c>
      <c r="F45" s="5" t="inlineStr">
        <is>
          <t>2026-08-30</t>
        </is>
      </c>
      <c r="G45" s="5" t="inlineStr">
        <is>
          <t>Received</t>
        </is>
      </c>
      <c r="H45" s="5" t="n"/>
    </row>
    <row r="46">
      <c r="A46" s="2" t="inlineStr">
        <is>
          <t>Authentic Brands Group</t>
        </is>
      </c>
      <c r="B46" s="3" t="inlineStr">
        <is>
          <t>Manager, IT Security and Compliance</t>
        </is>
      </c>
      <c r="C46" s="8" t="inlineStr">
        <is>
          <t>applied</t>
        </is>
      </c>
      <c r="D46" s="2" t="inlineStr">
        <is>
          <t>Email only (self-submitted, not tracked locally)</t>
        </is>
      </c>
      <c r="E46" s="2" t="inlineStr">
        <is>
          <t>2026-08-30</t>
        </is>
      </c>
      <c r="F46" s="2" t="inlineStr">
        <is>
          <t>2026-08-30</t>
        </is>
      </c>
      <c r="G46" s="2" t="inlineStr">
        <is>
          <t>Received</t>
        </is>
      </c>
      <c r="H46" s="2" t="n"/>
    </row>
    <row r="47" ht="27" customHeight="1">
      <c r="A47" s="5" t="inlineStr">
        <is>
          <t>Riverside Community College District (Moreno Valley College)</t>
        </is>
      </c>
      <c r="B47" s="6" t="inlineStr">
        <is>
          <t>Computer Information Systems Instructor - Cybersecurity Emphasis</t>
        </is>
      </c>
      <c r="C47" s="8" t="inlineStr">
        <is>
          <t>applied</t>
        </is>
      </c>
      <c r="D47" s="5" t="inlineStr">
        <is>
          <t>Local system (job-search automation)</t>
        </is>
      </c>
      <c r="E47" s="5" t="inlineStr">
        <is>
          <t>2026-08-26</t>
        </is>
      </c>
      <c r="F47" s="5" t="inlineStr">
        <is>
          <t>2026-08-29</t>
        </is>
      </c>
      <c r="G47" s="5" t="n"/>
      <c r="H47" s="5" t="inlineStr">
        <is>
          <t>2026-08-26_Riverside-Community-College-District_CIS-Instructor-Cybersecurity-Emphasis\status.json</t>
        </is>
      </c>
    </row>
    <row r="48" ht="27" customHeight="1">
      <c r="A48" s="2" t="inlineStr">
        <is>
          <t>University of Vermont</t>
        </is>
      </c>
      <c r="B48" s="3" t="inlineStr">
        <is>
          <t>Artificial Intelligence and Modern Work Specialist</t>
        </is>
      </c>
      <c r="C48" s="8" t="inlineStr">
        <is>
          <t>applied</t>
        </is>
      </c>
      <c r="D48" s="2" t="inlineStr">
        <is>
          <t>Local system + email confirmed</t>
        </is>
      </c>
      <c r="E48" s="2" t="inlineStr">
        <is>
          <t>2026-08-27</t>
        </is>
      </c>
      <c r="F48" s="2" t="inlineStr">
        <is>
          <t>2026-08-29</t>
        </is>
      </c>
      <c r="G48" s="2" t="inlineStr">
        <is>
          <t>Received</t>
        </is>
      </c>
      <c r="H48" s="2" t="inlineStr">
        <is>
          <t>2026-08-27_University-of-Vermont_AI-and-Modern-Work-Specialist\status.json</t>
        </is>
      </c>
    </row>
    <row r="49" ht="27" customHeight="1">
      <c r="A49" s="5" t="inlineStr">
        <is>
          <t>Valsoft Corporation</t>
        </is>
      </c>
      <c r="B49" s="6" t="inlineStr">
        <is>
          <t>Compliance, Security &amp; AI Governance Analyst</t>
        </is>
      </c>
      <c r="C49" s="8" t="inlineStr">
        <is>
          <t>applied</t>
        </is>
      </c>
      <c r="D49" s="5" t="inlineStr">
        <is>
          <t>Local system + email confirmed</t>
        </is>
      </c>
      <c r="E49" s="5" t="inlineStr">
        <is>
          <t>2026-08-29</t>
        </is>
      </c>
      <c r="F49" s="5" t="inlineStr">
        <is>
          <t>2026-08-29</t>
        </is>
      </c>
      <c r="G49" s="5" t="inlineStr">
        <is>
          <t>Received</t>
        </is>
      </c>
      <c r="H49" s="5" t="inlineStr">
        <is>
          <t>2026-08-27_Valsoft-Corporation_Compliance-Security-and-AI-Governance-Analyst\status.json</t>
        </is>
      </c>
    </row>
    <row r="50">
      <c r="A50" s="2" t="inlineStr">
        <is>
          <t>Polsinelli PC</t>
        </is>
      </c>
      <c r="B50" s="3" t="inlineStr">
        <is>
          <t>Governance Risk and Compliance Analyst</t>
        </is>
      </c>
      <c r="C50" s="8" t="inlineStr">
        <is>
          <t>applied</t>
        </is>
      </c>
      <c r="D50" s="2" t="inlineStr">
        <is>
          <t>Local system + email confirmed</t>
        </is>
      </c>
      <c r="E50" s="2" t="inlineStr">
        <is>
          <t>2026-08-28</t>
        </is>
      </c>
      <c r="F50" s="2" t="inlineStr">
        <is>
          <t>2026-08-29</t>
        </is>
      </c>
      <c r="G50" s="2" t="inlineStr">
        <is>
          <t>Received</t>
        </is>
      </c>
      <c r="H50" s="2" t="inlineStr">
        <is>
          <t>2026-08-28_Polsinelli-PC_Governance-Risk-and-Compliance-Analyst\status.json</t>
        </is>
      </c>
    </row>
    <row r="51" ht="27" customHeight="1">
      <c r="A51" s="5" t="inlineStr">
        <is>
          <t>A-Alpha Bio</t>
        </is>
      </c>
      <c r="B51" s="6" t="inlineStr">
        <is>
          <t>Manager, Information Security &amp; Technology</t>
        </is>
      </c>
      <c r="C51" s="8" t="inlineStr">
        <is>
          <t>applied</t>
        </is>
      </c>
      <c r="D51" s="5" t="inlineStr">
        <is>
          <t>Local system + email confirmed</t>
        </is>
      </c>
      <c r="E51" s="5" t="inlineStr">
        <is>
          <t>2026-08-29</t>
        </is>
      </c>
      <c r="F51" s="5" t="inlineStr">
        <is>
          <t>2026-08-29</t>
        </is>
      </c>
      <c r="G51" s="5" t="inlineStr">
        <is>
          <t>Received</t>
        </is>
      </c>
      <c r="H51" s="5" t="inlineStr">
        <is>
          <t>2026-08-29_A-Alpha-Bio_Manager-Information-Security-Technology\status.json</t>
        </is>
      </c>
    </row>
    <row r="52">
      <c r="A52" s="2" t="inlineStr">
        <is>
          <t>Allied Benefit Systems</t>
        </is>
      </c>
      <c r="B52" s="3" t="inlineStr">
        <is>
          <t>GRC Analyst</t>
        </is>
      </c>
      <c r="C52" s="8" t="inlineStr">
        <is>
          <t>applied</t>
        </is>
      </c>
      <c r="D52" s="2" t="inlineStr">
        <is>
          <t>Local system + email confirmed</t>
        </is>
      </c>
      <c r="E52" s="2" t="inlineStr">
        <is>
          <t>2026-08-29</t>
        </is>
      </c>
      <c r="F52" s="2" t="inlineStr">
        <is>
          <t>2026-08-29</t>
        </is>
      </c>
      <c r="G52" s="2" t="inlineStr">
        <is>
          <t>Received</t>
        </is>
      </c>
      <c r="H52" s="2" t="inlineStr">
        <is>
          <t>2026-08-29_Allied-Benefit-Systems_GRC-Analyst\status.json</t>
        </is>
      </c>
    </row>
    <row r="53">
      <c r="A53" s="5" t="inlineStr">
        <is>
          <t>Commence</t>
        </is>
      </c>
      <c r="B53" s="6" t="inlineStr">
        <is>
          <t>IT Security Governance Officer</t>
        </is>
      </c>
      <c r="C53" s="8" t="inlineStr">
        <is>
          <t>applied</t>
        </is>
      </c>
      <c r="D53" s="5" t="inlineStr">
        <is>
          <t>Local system + email confirmed</t>
        </is>
      </c>
      <c r="E53" s="5" t="inlineStr">
        <is>
          <t>2026-08-29</t>
        </is>
      </c>
      <c r="F53" s="5" t="inlineStr">
        <is>
          <t>2026-08-29</t>
        </is>
      </c>
      <c r="G53" s="5" t="inlineStr">
        <is>
          <t>Received</t>
        </is>
      </c>
      <c r="H53" s="5" t="inlineStr">
        <is>
          <t>2026-08-29_Commence_IT-Security-Governance-Officer\status.json</t>
        </is>
      </c>
    </row>
    <row r="54">
      <c r="A54" s="2" t="inlineStr">
        <is>
          <t>Elevance Health</t>
        </is>
      </c>
      <c r="B54" s="3" t="inlineStr">
        <is>
          <t>Cybersecurity PCI Compliance Advisor</t>
        </is>
      </c>
      <c r="C54" s="8" t="inlineStr">
        <is>
          <t>applied</t>
        </is>
      </c>
      <c r="D54" s="2" t="inlineStr">
        <is>
          <t>Local system + email confirmed</t>
        </is>
      </c>
      <c r="E54" s="2" t="inlineStr">
        <is>
          <t>2026-08-29</t>
        </is>
      </c>
      <c r="F54" s="2" t="inlineStr">
        <is>
          <t>2026-08-29</t>
        </is>
      </c>
      <c r="G54" s="2" t="inlineStr">
        <is>
          <t>Received</t>
        </is>
      </c>
      <c r="H54" s="2" t="inlineStr">
        <is>
          <t>2026-08-29_Elevance-Health_Cybersecurity-PCI-Compliance-Advisor\status.json</t>
        </is>
      </c>
    </row>
    <row r="55" ht="27" customHeight="1">
      <c r="A55" s="5" t="inlineStr">
        <is>
          <t>Grinnell College</t>
        </is>
      </c>
      <c r="B55" s="6" t="inlineStr">
        <is>
          <t>Department of Computer Science (Tenure Track, Start Fall 2027)</t>
        </is>
      </c>
      <c r="C55" s="4" t="inlineStr">
        <is>
          <t>not_pursuing</t>
        </is>
      </c>
      <c r="D55" s="5" t="inlineStr">
        <is>
          <t>Local system (job-search automation)</t>
        </is>
      </c>
      <c r="E55" s="5" t="inlineStr">
        <is>
          <t>2026-08-29</t>
        </is>
      </c>
      <c r="F55" s="5" t="n"/>
      <c r="G55" s="5" t="n"/>
      <c r="H55" s="5" t="inlineStr">
        <is>
          <t>2026-08-29_Grinnell-College_Computer-Science-Tenure-Track\status.json</t>
        </is>
      </c>
    </row>
    <row r="56">
      <c r="A56" s="2" t="inlineStr">
        <is>
          <t>Hillsborough Community College</t>
        </is>
      </c>
      <c r="B56" s="3" t="inlineStr">
        <is>
          <t>Computer Science Instructor</t>
        </is>
      </c>
      <c r="C56" s="4" t="inlineStr">
        <is>
          <t>not_pursuing</t>
        </is>
      </c>
      <c r="D56" s="2" t="inlineStr">
        <is>
          <t>Local system (job-search automation)</t>
        </is>
      </c>
      <c r="E56" s="2" t="inlineStr">
        <is>
          <t>2026-08-29</t>
        </is>
      </c>
      <c r="F56" s="2" t="n"/>
      <c r="G56" s="2" t="n"/>
      <c r="H56" s="2" t="inlineStr">
        <is>
          <t>2026-08-29_Hillsborough-Community-College_Computer-Science-Instructor\status.json</t>
        </is>
      </c>
    </row>
    <row r="57" ht="27" customHeight="1">
      <c r="A57" s="5" t="inlineStr">
        <is>
          <t>IBM</t>
        </is>
      </c>
      <c r="B57" s="6" t="inlineStr">
        <is>
          <t>Intern Security Consultant - Cyber Strategy &amp; Risk 2027</t>
        </is>
      </c>
      <c r="C57" s="10" t="inlineStr">
        <is>
          <t>rejected</t>
        </is>
      </c>
      <c r="D57" s="5" t="inlineStr">
        <is>
          <t>Local system (job-search automation)</t>
        </is>
      </c>
      <c r="E57" s="5" t="inlineStr">
        <is>
          <t>2026-08-29</t>
        </is>
      </c>
      <c r="F57" s="5" t="inlineStr">
        <is>
          <t>2026-08-29</t>
        </is>
      </c>
      <c r="G57" s="5" t="n"/>
      <c r="H57" s="5" t="inlineStr">
        <is>
          <t>2026-08-29_IBM_Intern-Security-Consultant-Cyber-Strategy-Risk-2027\status.json</t>
        </is>
      </c>
    </row>
    <row r="58">
      <c r="A58" s="2" t="inlineStr">
        <is>
          <t>Legora</t>
        </is>
      </c>
      <c r="B58" s="3" t="inlineStr">
        <is>
          <t>GRC Lead</t>
        </is>
      </c>
      <c r="C58" s="10" t="inlineStr">
        <is>
          <t>rejected</t>
        </is>
      </c>
      <c r="D58" s="2" t="inlineStr">
        <is>
          <t>Local system + email confirmed</t>
        </is>
      </c>
      <c r="E58" s="2" t="inlineStr">
        <is>
          <t>2026-08-29</t>
        </is>
      </c>
      <c r="F58" s="2" t="inlineStr">
        <is>
          <t>2026-08-29</t>
        </is>
      </c>
      <c r="G58" s="2" t="inlineStr">
        <is>
          <t>Rejected</t>
        </is>
      </c>
      <c r="H58" s="2" t="inlineStr">
        <is>
          <t>2026-08-29_Legora_GRC-Lead\status.json</t>
        </is>
      </c>
    </row>
    <row r="59">
      <c r="A59" s="5" t="inlineStr">
        <is>
          <t>Lincoln Financial</t>
        </is>
      </c>
      <c r="B59" s="6" t="inlineStr">
        <is>
          <t>Sr Associate Cybersecurity Risk Analyst</t>
        </is>
      </c>
      <c r="C59" s="8" t="inlineStr">
        <is>
          <t>applied</t>
        </is>
      </c>
      <c r="D59" s="5" t="inlineStr">
        <is>
          <t>Local system (job-search automation)</t>
        </is>
      </c>
      <c r="E59" s="5" t="inlineStr">
        <is>
          <t>2026-08-29</t>
        </is>
      </c>
      <c r="F59" s="5" t="inlineStr">
        <is>
          <t>2026-08-29</t>
        </is>
      </c>
      <c r="G59" s="5" t="n"/>
      <c r="H59" s="5" t="inlineStr">
        <is>
          <t>2026-08-29_Lincoln-Financial_Sr-Associate-Cybersecurity-Risk-Analyst\status.json</t>
        </is>
      </c>
    </row>
    <row r="60">
      <c r="A60" s="2" t="inlineStr">
        <is>
          <t>The MITRE Corporation</t>
        </is>
      </c>
      <c r="B60" s="3" t="inlineStr">
        <is>
          <t>Cyber Defense Intern</t>
        </is>
      </c>
      <c r="C60" s="4" t="inlineStr">
        <is>
          <t>not_pursuing</t>
        </is>
      </c>
      <c r="D60" s="2" t="inlineStr">
        <is>
          <t>Local system (job-search automation)</t>
        </is>
      </c>
      <c r="E60" s="2" t="inlineStr">
        <is>
          <t>2026-08-29</t>
        </is>
      </c>
      <c r="F60" s="2" t="n"/>
      <c r="G60" s="2" t="n"/>
      <c r="H60" s="2" t="inlineStr">
        <is>
          <t>2026-08-29_MITRE-Corporation_Cyber-Defense-Intern\status.json</t>
        </is>
      </c>
    </row>
    <row r="61">
      <c r="A61" s="5" t="inlineStr">
        <is>
          <t>Origami Risk LLC</t>
        </is>
      </c>
      <c r="B61" s="6" t="inlineStr">
        <is>
          <t>AI Governance Analyst</t>
        </is>
      </c>
      <c r="C61" s="8" t="inlineStr">
        <is>
          <t>applied</t>
        </is>
      </c>
      <c r="D61" s="5" t="inlineStr">
        <is>
          <t>Local system + email confirmed</t>
        </is>
      </c>
      <c r="E61" s="5" t="inlineStr">
        <is>
          <t>2026-08-29</t>
        </is>
      </c>
      <c r="F61" s="5" t="inlineStr">
        <is>
          <t>2026-08-29</t>
        </is>
      </c>
      <c r="G61" s="5" t="inlineStr">
        <is>
          <t>Received</t>
        </is>
      </c>
      <c r="H61" s="5" t="inlineStr">
        <is>
          <t>2026-08-29_Origami-Risk_AI-Governance-Analyst\status.json</t>
        </is>
      </c>
    </row>
    <row r="62">
      <c r="A62" s="2" t="inlineStr">
        <is>
          <t>Protective</t>
        </is>
      </c>
      <c r="B62" s="3" t="inlineStr">
        <is>
          <t>Security GRC Analyst</t>
        </is>
      </c>
      <c r="C62" s="8" t="inlineStr">
        <is>
          <t>applied</t>
        </is>
      </c>
      <c r="D62" s="2" t="inlineStr">
        <is>
          <t>Local system (job-search automation)</t>
        </is>
      </c>
      <c r="E62" s="2" t="inlineStr">
        <is>
          <t>2026-08-29</t>
        </is>
      </c>
      <c r="F62" s="2" t="inlineStr">
        <is>
          <t>2026-08-29</t>
        </is>
      </c>
      <c r="G62" s="2" t="n"/>
      <c r="H62" s="2" t="inlineStr">
        <is>
          <t>2026-08-29_Protective_Security-GRC-Analyst\status.json</t>
        </is>
      </c>
    </row>
    <row r="63">
      <c r="A63" s="5" t="inlineStr">
        <is>
          <t>Sun Communities, Inc.</t>
        </is>
      </c>
      <c r="B63" s="6" t="inlineStr">
        <is>
          <t>Manager, IT Security</t>
        </is>
      </c>
      <c r="C63" s="8" t="inlineStr">
        <is>
          <t>applied</t>
        </is>
      </c>
      <c r="D63" s="5" t="inlineStr">
        <is>
          <t>Local system + email confirmed</t>
        </is>
      </c>
      <c r="E63" s="5" t="inlineStr">
        <is>
          <t>2026-08-29</t>
        </is>
      </c>
      <c r="F63" s="5" t="inlineStr">
        <is>
          <t>2026-08-29</t>
        </is>
      </c>
      <c r="G63" s="5" t="inlineStr">
        <is>
          <t>Received</t>
        </is>
      </c>
      <c r="H63" s="5" t="inlineStr">
        <is>
          <t>2026-08-29_Sun-Communities_Manager-IT-Security\status.json</t>
        </is>
      </c>
    </row>
    <row r="64">
      <c r="A64" s="2" t="inlineStr">
        <is>
          <t>Truist Financial Corporation</t>
        </is>
      </c>
      <c r="B64" s="3" t="inlineStr">
        <is>
          <t>Cyber Incident Management Engineer</t>
        </is>
      </c>
      <c r="C64" s="4" t="inlineStr">
        <is>
          <t>not_pursuing</t>
        </is>
      </c>
      <c r="D64" s="2" t="inlineStr">
        <is>
          <t>Local system (job-search automation)</t>
        </is>
      </c>
      <c r="E64" s="2" t="inlineStr">
        <is>
          <t>2026-08-29</t>
        </is>
      </c>
      <c r="F64" s="2" t="n"/>
      <c r="G64" s="2" t="n"/>
      <c r="H64" s="2" t="inlineStr">
        <is>
          <t>2026-08-29_Truist_Cyber-Incident-Management-Engineer\status.json</t>
        </is>
      </c>
    </row>
    <row r="65" ht="40.5" customHeight="1">
      <c r="A65" s="5" t="inlineStr">
        <is>
          <t>UnitedHealth Group / Optum</t>
        </is>
      </c>
      <c r="B65" s="6" t="inlineStr">
        <is>
          <t>AI Security Governance Operations Specialist (Information Security Governance Operations Support Analyst)</t>
        </is>
      </c>
      <c r="C65" s="8" t="inlineStr">
        <is>
          <t>applied</t>
        </is>
      </c>
      <c r="D65" s="5" t="inlineStr">
        <is>
          <t>Local system + email confirmed</t>
        </is>
      </c>
      <c r="E65" s="5" t="inlineStr">
        <is>
          <t>2026-08-29</t>
        </is>
      </c>
      <c r="F65" s="5" t="inlineStr">
        <is>
          <t>2026-08-29</t>
        </is>
      </c>
      <c r="G65" s="5" t="inlineStr">
        <is>
          <t>Received - Next Stage</t>
        </is>
      </c>
      <c r="H65" s="5" t="inlineStr">
        <is>
          <t>2026-08-29_UnitedHealth-Group-Optum_AI-Security-Governance-Operations-Specialist\status.json</t>
        </is>
      </c>
    </row>
    <row r="66">
      <c r="A66" s="2" t="inlineStr">
        <is>
          <t>The University of Texas at Arlington</t>
        </is>
      </c>
      <c r="B66" s="3" t="inlineStr">
        <is>
          <t>Cybersecurity Compliance Analyst</t>
        </is>
      </c>
      <c r="C66" s="8" t="inlineStr">
        <is>
          <t>applied</t>
        </is>
      </c>
      <c r="D66" s="2" t="inlineStr">
        <is>
          <t>Local system + email confirmed</t>
        </is>
      </c>
      <c r="E66" s="2" t="inlineStr">
        <is>
          <t>2026-08-24</t>
        </is>
      </c>
      <c r="F66" s="2" t="inlineStr">
        <is>
          <t>2026-08-28</t>
        </is>
      </c>
      <c r="G66" s="2" t="inlineStr">
        <is>
          <t>Received</t>
        </is>
      </c>
      <c r="H66" s="2" t="inlineStr">
        <is>
          <t>2026-08-24_University-of-Texas-at-Arlington_Cybersecurity-Compliance-Analyst\status.json</t>
        </is>
      </c>
    </row>
    <row r="67">
      <c r="A67" s="5" t="inlineStr">
        <is>
          <t>University of Oklahoma Libraries</t>
        </is>
      </c>
      <c r="B67" s="6" t="inlineStr">
        <is>
          <t>Research Data and AI Specialist</t>
        </is>
      </c>
      <c r="C67" s="8" t="inlineStr">
        <is>
          <t>applied</t>
        </is>
      </c>
      <c r="D67" s="5" t="inlineStr">
        <is>
          <t>Local system (job-search automation)</t>
        </is>
      </c>
      <c r="E67" s="5" t="inlineStr">
        <is>
          <t>2026-08-26</t>
        </is>
      </c>
      <c r="F67" s="5" t="inlineStr">
        <is>
          <t>2026-08-28</t>
        </is>
      </c>
      <c r="G67" s="5" t="n"/>
      <c r="H67" s="5" t="inlineStr">
        <is>
          <t>2026-08-26_University-of-Oklahoma_Research-Data-and-AI-Specialist\status.json</t>
        </is>
      </c>
    </row>
    <row r="68">
      <c r="A68" s="2" t="inlineStr">
        <is>
          <t>Cummins Inc.</t>
        </is>
      </c>
      <c r="B68" s="3" t="inlineStr">
        <is>
          <t>Cybersecurity Assurance Analyst</t>
        </is>
      </c>
      <c r="C68" s="8" t="inlineStr">
        <is>
          <t>applied</t>
        </is>
      </c>
      <c r="D68" s="2" t="inlineStr">
        <is>
          <t>Local system + email confirmed</t>
        </is>
      </c>
      <c r="E68" s="2" t="inlineStr">
        <is>
          <t>2026-08-27</t>
        </is>
      </c>
      <c r="F68" s="2" t="inlineStr">
        <is>
          <t>2026-08-28</t>
        </is>
      </c>
      <c r="G68" s="2" t="inlineStr">
        <is>
          <t>Received</t>
        </is>
      </c>
      <c r="H68" s="2" t="inlineStr">
        <is>
          <t>2026-08-27_Cummins-Inc_Cybersecurity-Assurance-Analyst\status.json</t>
        </is>
      </c>
    </row>
    <row r="69" ht="27" customHeight="1">
      <c r="A69" s="5" t="inlineStr">
        <is>
          <t>University of North Carolina School of the Arts</t>
        </is>
      </c>
      <c r="B69" s="6" t="inlineStr">
        <is>
          <t>IT Security Professional I / Cybersecurity Analyst</t>
        </is>
      </c>
      <c r="C69" s="8" t="inlineStr">
        <is>
          <t>applied</t>
        </is>
      </c>
      <c r="D69" s="5" t="inlineStr">
        <is>
          <t>Local system (job-search automation)</t>
        </is>
      </c>
      <c r="E69" s="5" t="inlineStr">
        <is>
          <t>2026-08-27</t>
        </is>
      </c>
      <c r="F69" s="5" t="inlineStr">
        <is>
          <t>2026-08-28</t>
        </is>
      </c>
      <c r="G69" s="5" t="n"/>
      <c r="H69" s="5" t="inlineStr">
        <is>
          <t>2026-08-27_UNC-School-of-the-Arts_IT-Security-Professional-I-Cybersecurity-Analyst\status.json</t>
        </is>
      </c>
    </row>
    <row r="70">
      <c r="A70" s="2" t="inlineStr">
        <is>
          <t>University of Texas at Arlington</t>
        </is>
      </c>
      <c r="B70" s="3" t="inlineStr">
        <is>
          <t>Identity &amp; Access Analyst II</t>
        </is>
      </c>
      <c r="C70" s="8" t="inlineStr">
        <is>
          <t>applied</t>
        </is>
      </c>
      <c r="D70" s="2" t="inlineStr">
        <is>
          <t>Local system (job-search automation)</t>
        </is>
      </c>
      <c r="E70" s="2" t="inlineStr">
        <is>
          <t>2026-08-27</t>
        </is>
      </c>
      <c r="F70" s="2" t="inlineStr">
        <is>
          <t>2026-08-28</t>
        </is>
      </c>
      <c r="G70" s="2" t="n"/>
      <c r="H70" s="2" t="inlineStr">
        <is>
          <t>2026-08-27_University-of-Texas-at-Arlington_Identity-and-Access-Analyst-II\status.json</t>
        </is>
      </c>
    </row>
    <row r="71" ht="27" customHeight="1">
      <c r="A71" s="5" t="inlineStr">
        <is>
          <t>mTrade, LLC</t>
        </is>
      </c>
      <c r="B71" s="6" t="inlineStr">
        <is>
          <t>Senior Cybersecurity Risk &amp; Governance Analyst</t>
        </is>
      </c>
      <c r="C71" s="8" t="inlineStr">
        <is>
          <t>applied</t>
        </is>
      </c>
      <c r="D71" s="5" t="inlineStr">
        <is>
          <t>Local system (job-search automation)</t>
        </is>
      </c>
      <c r="E71" s="5" t="inlineStr">
        <is>
          <t>2026-08-27</t>
        </is>
      </c>
      <c r="F71" s="5" t="inlineStr">
        <is>
          <t>2026-08-28</t>
        </is>
      </c>
      <c r="G71" s="5" t="n"/>
      <c r="H71" s="5" t="inlineStr">
        <is>
          <t>2026-08-27_mTrade-LLC_Senior-Cybersecurity-Risk-and-Governance-Analyst\status.json</t>
        </is>
      </c>
    </row>
    <row r="72" ht="27" customHeight="1">
      <c r="A72" s="2" t="inlineStr">
        <is>
          <t>Carnegie Mellon University</t>
        </is>
      </c>
      <c r="B72" s="3" t="inlineStr">
        <is>
          <t>Sr. Research IT Security Risk and Compliance Analyst - Computing Services</t>
        </is>
      </c>
      <c r="C72" s="8" t="inlineStr">
        <is>
          <t>applied</t>
        </is>
      </c>
      <c r="D72" s="2" t="inlineStr">
        <is>
          <t>Local system (job-search automation)</t>
        </is>
      </c>
      <c r="E72" s="2" t="inlineStr">
        <is>
          <t>2026-08-22</t>
        </is>
      </c>
      <c r="F72" s="2" t="inlineStr">
        <is>
          <t>2026-08-27</t>
        </is>
      </c>
      <c r="G72" s="2" t="n"/>
      <c r="H72" s="2" t="inlineStr">
        <is>
          <t>2026-08-22_Carnegie-Mellon-University_Sr-Research-IT-Security-Risk-and-Compliance-Analyst\status.json</t>
        </is>
      </c>
    </row>
    <row r="73" ht="27" customHeight="1">
      <c r="A73" s="5" t="inlineStr">
        <is>
          <t>Cogent Communications</t>
        </is>
      </c>
      <c r="B73" s="6" t="inlineStr">
        <is>
          <t>Cybersecurity Analyst, Security and AI Governance</t>
        </is>
      </c>
      <c r="C73" s="8" t="inlineStr">
        <is>
          <t>applied</t>
        </is>
      </c>
      <c r="D73" s="5" t="inlineStr">
        <is>
          <t>Local system (job-search automation)</t>
        </is>
      </c>
      <c r="E73" s="5" t="inlineStr">
        <is>
          <t>2026-08-23</t>
        </is>
      </c>
      <c r="F73" s="5" t="inlineStr">
        <is>
          <t>2026-08-27</t>
        </is>
      </c>
      <c r="G73" s="5" t="n"/>
      <c r="H73" s="5" t="inlineStr">
        <is>
          <t>2026-08-23_Cogent-Communications_Cybersecurity-Analyst-Security-and-AI-Governance\status.json</t>
        </is>
      </c>
    </row>
    <row r="74" ht="27" customHeight="1">
      <c r="A74" s="2" t="inlineStr">
        <is>
          <t>Roxbury Community College</t>
        </is>
      </c>
      <c r="B74" s="3" t="inlineStr">
        <is>
          <t>IT Operations and Network Infrastructure Engineer</t>
        </is>
      </c>
      <c r="C74" s="8" t="inlineStr">
        <is>
          <t>applied</t>
        </is>
      </c>
      <c r="D74" s="2" t="inlineStr">
        <is>
          <t>Local system (job-search automation)</t>
        </is>
      </c>
      <c r="E74" s="2" t="inlineStr">
        <is>
          <t>2026-08-23</t>
        </is>
      </c>
      <c r="F74" s="2" t="inlineStr">
        <is>
          <t>2026-08-27</t>
        </is>
      </c>
      <c r="G74" s="2" t="n"/>
      <c r="H74" s="2" t="inlineStr">
        <is>
          <t>2026-08-23_Roxbury-Community-College_IT-Operations-and-Network-Infrastructure-Engineer\status.json</t>
        </is>
      </c>
    </row>
    <row r="75">
      <c r="A75" s="5" t="inlineStr">
        <is>
          <t>University of New Mexico</t>
        </is>
      </c>
      <c r="B75" s="6" t="inlineStr">
        <is>
          <t>Core IT Svcs Splst (req37653)</t>
        </is>
      </c>
      <c r="C75" s="8" t="inlineStr">
        <is>
          <t>applied</t>
        </is>
      </c>
      <c r="D75" s="5" t="inlineStr">
        <is>
          <t>Local system + email confirmed</t>
        </is>
      </c>
      <c r="E75" s="5" t="inlineStr">
        <is>
          <t>2026-08-23</t>
        </is>
      </c>
      <c r="F75" s="5" t="inlineStr">
        <is>
          <t>2026-08-27</t>
        </is>
      </c>
      <c r="G75" s="5" t="inlineStr">
        <is>
          <t>Received</t>
        </is>
      </c>
      <c r="H75" s="5" t="inlineStr">
        <is>
          <t>2026-08-23_University-of-New-Mexico_Core-IT-Services-Specialist\status.json</t>
        </is>
      </c>
    </row>
    <row r="76">
      <c r="A76" s="2" t="inlineStr">
        <is>
          <t>Kroll</t>
        </is>
      </c>
      <c r="B76" s="3" t="inlineStr">
        <is>
          <t>Senior Associate, Incident Response</t>
        </is>
      </c>
      <c r="C76" s="8" t="inlineStr">
        <is>
          <t>applied</t>
        </is>
      </c>
      <c r="D76" s="2" t="inlineStr">
        <is>
          <t>Local system (job-search automation)</t>
        </is>
      </c>
      <c r="E76" s="2" t="inlineStr">
        <is>
          <t>2026-08-25</t>
        </is>
      </c>
      <c r="F76" s="2" t="inlineStr">
        <is>
          <t>2026-08-27</t>
        </is>
      </c>
      <c r="G76" s="2" t="n"/>
      <c r="H76" s="2" t="inlineStr">
        <is>
          <t>2026-08-25_Kroll_Senior-Associate-Incident-Response\status.json</t>
        </is>
      </c>
    </row>
    <row r="77">
      <c r="A77" s="5" t="inlineStr">
        <is>
          <t>Lighthouse</t>
        </is>
      </c>
      <c r="B77" s="6" t="inlineStr">
        <is>
          <t>Digital Forensics Analyst</t>
        </is>
      </c>
      <c r="C77" s="8" t="inlineStr">
        <is>
          <t>applied</t>
        </is>
      </c>
      <c r="D77" s="5" t="inlineStr">
        <is>
          <t>Local system + email confirmed</t>
        </is>
      </c>
      <c r="E77" s="5" t="inlineStr">
        <is>
          <t>2026-08-25</t>
        </is>
      </c>
      <c r="F77" s="5" t="inlineStr">
        <is>
          <t>2026-08-27</t>
        </is>
      </c>
      <c r="G77" s="5" t="inlineStr">
        <is>
          <t>Received</t>
        </is>
      </c>
      <c r="H77" s="5" t="inlineStr">
        <is>
          <t>2026-08-25_Lighthouse_Digital-Forensics-Analyst\status.json</t>
        </is>
      </c>
    </row>
    <row r="78" ht="27" customHeight="1">
      <c r="A78" s="2" t="inlineStr">
        <is>
          <t>Neumo</t>
        </is>
      </c>
      <c r="B78" s="3" t="inlineStr">
        <is>
          <t>Manager, Information Security (GRC) (Remote)</t>
        </is>
      </c>
      <c r="C78" s="8" t="inlineStr">
        <is>
          <t>applied</t>
        </is>
      </c>
      <c r="D78" s="2" t="inlineStr">
        <is>
          <t>Local system + email confirmed</t>
        </is>
      </c>
      <c r="E78" s="2" t="inlineStr">
        <is>
          <t>2026-08-25</t>
        </is>
      </c>
      <c r="F78" s="2" t="inlineStr">
        <is>
          <t>2026-08-27</t>
        </is>
      </c>
      <c r="G78" s="2" t="inlineStr">
        <is>
          <t>Received</t>
        </is>
      </c>
      <c r="H78" s="2" t="inlineStr">
        <is>
          <t>2026-08-25_Neumo_Manager-Information-Security-GRC\status.json</t>
        </is>
      </c>
    </row>
    <row r="79">
      <c r="A79" s="5" t="inlineStr">
        <is>
          <t>New York University</t>
        </is>
      </c>
      <c r="B79" s="6" t="inlineStr">
        <is>
          <t>Information Security Analyst Tier 1</t>
        </is>
      </c>
      <c r="C79" s="8" t="inlineStr">
        <is>
          <t>applied</t>
        </is>
      </c>
      <c r="D79" s="5" t="inlineStr">
        <is>
          <t>Local system (job-search automation)</t>
        </is>
      </c>
      <c r="E79" s="5" t="inlineStr">
        <is>
          <t>2026-08-25</t>
        </is>
      </c>
      <c r="F79" s="5" t="inlineStr">
        <is>
          <t>2026-08-27</t>
        </is>
      </c>
      <c r="G79" s="5" t="n"/>
      <c r="H79" s="5" t="inlineStr">
        <is>
          <t>2026-08-25_New-York-University_Information-Security-Analyst-Tier-1\status.json</t>
        </is>
      </c>
    </row>
    <row r="80">
      <c r="A80" s="2" t="inlineStr">
        <is>
          <t>Utah Valley University</t>
        </is>
      </c>
      <c r="B80" s="3" t="inlineStr">
        <is>
          <t>Site Reliability Engineer III - Operations</t>
        </is>
      </c>
      <c r="C80" s="8" t="inlineStr">
        <is>
          <t>applied</t>
        </is>
      </c>
      <c r="D80" s="2" t="inlineStr">
        <is>
          <t>Local system + email confirmed</t>
        </is>
      </c>
      <c r="E80" s="2" t="inlineStr">
        <is>
          <t>2026-08-25</t>
        </is>
      </c>
      <c r="F80" s="2" t="inlineStr">
        <is>
          <t>2026-08-27</t>
        </is>
      </c>
      <c r="G80" s="2" t="inlineStr">
        <is>
          <t>Received</t>
        </is>
      </c>
      <c r="H80" s="2" t="inlineStr">
        <is>
          <t>2026-08-25_Utah-Valley-University_Site-Reliability-Engineer-III-Operations\status.json</t>
        </is>
      </c>
    </row>
    <row r="81">
      <c r="A81" s="5" t="inlineStr">
        <is>
          <t>Vector3, Inc. (Tokio Marine HCC)</t>
        </is>
      </c>
      <c r="B81" s="6" t="inlineStr">
        <is>
          <t>Cyber Threat Analyst</t>
        </is>
      </c>
      <c r="C81" s="8" t="inlineStr">
        <is>
          <t>applied</t>
        </is>
      </c>
      <c r="D81" s="5" t="inlineStr">
        <is>
          <t>Local system + email confirmed</t>
        </is>
      </c>
      <c r="E81" s="5" t="inlineStr">
        <is>
          <t>2026-08-25</t>
        </is>
      </c>
      <c r="F81" s="5" t="inlineStr">
        <is>
          <t>2026-08-27</t>
        </is>
      </c>
      <c r="G81" s="5" t="inlineStr">
        <is>
          <t>Received</t>
        </is>
      </c>
      <c r="H81" s="5" t="inlineStr">
        <is>
          <t>2026-08-25_Vector3-Tokio-Marine-HCC_Cyber-Threat-Analyst\status.json</t>
        </is>
      </c>
    </row>
    <row r="82">
      <c r="A82" s="2" t="inlineStr">
        <is>
          <t>Stony Brook University</t>
        </is>
      </c>
      <c r="B82" s="3" t="inlineStr">
        <is>
          <t>Programmer Analyst Info Security</t>
        </is>
      </c>
      <c r="C82" s="8" t="inlineStr">
        <is>
          <t>applied</t>
        </is>
      </c>
      <c r="D82" s="2" t="inlineStr">
        <is>
          <t>Local system (job-search automation)</t>
        </is>
      </c>
      <c r="E82" s="2" t="inlineStr">
        <is>
          <t>2026-08-26</t>
        </is>
      </c>
      <c r="F82" s="2" t="inlineStr">
        <is>
          <t>2026-08-27</t>
        </is>
      </c>
      <c r="G82" s="2" t="n"/>
      <c r="H82" s="2" t="inlineStr">
        <is>
          <t>2026-08-26_Stony-Brook-University_Programmer-Analyst-Info-Security\status.json</t>
        </is>
      </c>
    </row>
    <row r="83">
      <c r="A83" s="5" t="inlineStr">
        <is>
          <t>CBRE</t>
        </is>
      </c>
      <c r="B83" s="6" t="inlineStr">
        <is>
          <t>Cybersecurity IT Audit Manager</t>
        </is>
      </c>
      <c r="C83" s="4" t="inlineStr">
        <is>
          <t>not_pursuing</t>
        </is>
      </c>
      <c r="D83" s="5" t="inlineStr">
        <is>
          <t>Local system (job-search automation)</t>
        </is>
      </c>
      <c r="E83" s="5" t="inlineStr">
        <is>
          <t>2026-08-27</t>
        </is>
      </c>
      <c r="F83" s="5" t="n"/>
      <c r="G83" s="5" t="n"/>
      <c r="H83" s="5" t="inlineStr">
        <is>
          <t>2026-08-27_CBRE_Cybersecurity-IT-Audit-Manager\status.json</t>
        </is>
      </c>
    </row>
    <row r="84">
      <c r="A84" s="2" t="inlineStr">
        <is>
          <t>TripleTen</t>
        </is>
      </c>
      <c r="B84" s="3" t="inlineStr">
        <is>
          <t>Cybersecurity Teaching Experts</t>
        </is>
      </c>
      <c r="C84" s="4" t="inlineStr">
        <is>
          <t>not_pursuing</t>
        </is>
      </c>
      <c r="D84" s="2" t="inlineStr">
        <is>
          <t>Local system (job-search automation)</t>
        </is>
      </c>
      <c r="E84" s="2" t="inlineStr">
        <is>
          <t>2026-08-27</t>
        </is>
      </c>
      <c r="F84" s="2" t="n"/>
      <c r="G84" s="2" t="n"/>
      <c r="H84" s="2" t="inlineStr">
        <is>
          <t>2026-08-27_TripleTen_Cybersecurity-Teaching-Experts\status.json</t>
        </is>
      </c>
    </row>
    <row r="85" ht="27" customHeight="1">
      <c r="A85" s="5" t="inlineStr">
        <is>
          <t>University of Nevada, Reno</t>
        </is>
      </c>
      <c r="B85" s="6" t="inlineStr">
        <is>
          <t>Information Security Analyst, Office of Information Technology</t>
        </is>
      </c>
      <c r="C85" s="8" t="inlineStr">
        <is>
          <t>applied</t>
        </is>
      </c>
      <c r="D85" s="5" t="inlineStr">
        <is>
          <t>Local system (job-search automation)</t>
        </is>
      </c>
      <c r="E85" s="5" t="inlineStr">
        <is>
          <t>2026-08-27</t>
        </is>
      </c>
      <c r="F85" s="5" t="inlineStr">
        <is>
          <t>2026-08-27</t>
        </is>
      </c>
      <c r="G85" s="5" t="n"/>
      <c r="H85" s="5" t="inlineStr">
        <is>
          <t>2026-08-27_University-of-Nevada-Reno_Information-Security-Analyst\status.json</t>
        </is>
      </c>
    </row>
    <row r="86">
      <c r="A86" s="2" t="inlineStr">
        <is>
          <t>Carnegie Mellon University</t>
        </is>
      </c>
      <c r="B86" s="3" t="inlineStr">
        <is>
          <t>IT Security Engineer - Computing Services</t>
        </is>
      </c>
      <c r="C86" s="8" t="inlineStr">
        <is>
          <t>applied</t>
        </is>
      </c>
      <c r="D86" s="2" t="inlineStr">
        <is>
          <t>Local system + email confirmed</t>
        </is>
      </c>
      <c r="E86" s="2" t="inlineStr">
        <is>
          <t>2026-08-22</t>
        </is>
      </c>
      <c r="F86" s="2" t="inlineStr">
        <is>
          <t>2026-08-26</t>
        </is>
      </c>
      <c r="G86" s="2" t="inlineStr">
        <is>
          <t>Received</t>
        </is>
      </c>
      <c r="H86" s="2" t="inlineStr">
        <is>
          <t>2026-08-22_Carnegie-Mellon-University_IT-Security-Engineer\status.json</t>
        </is>
      </c>
    </row>
    <row r="87">
      <c r="A87" s="5" t="inlineStr">
        <is>
          <t>East Carolina University</t>
        </is>
      </c>
      <c r="B87" s="6" t="inlineStr">
        <is>
          <t>Technology Support Analyst - Journey</t>
        </is>
      </c>
      <c r="C87" s="8" t="inlineStr">
        <is>
          <t>applied</t>
        </is>
      </c>
      <c r="D87" s="5" t="inlineStr">
        <is>
          <t>Local system (job-search automation)</t>
        </is>
      </c>
      <c r="E87" s="5" t="inlineStr">
        <is>
          <t>2026-08-25</t>
        </is>
      </c>
      <c r="F87" s="5" t="inlineStr">
        <is>
          <t>2026-08-26</t>
        </is>
      </c>
      <c r="G87" s="5" t="n"/>
      <c r="H87" s="5" t="inlineStr">
        <is>
          <t>2026-08-25_East-Carolina-University_Technology-Support-Analyst-Journey\status.json</t>
        </is>
      </c>
    </row>
    <row r="88" ht="27" customHeight="1">
      <c r="A88" s="2" t="inlineStr">
        <is>
          <t>BigCommerce</t>
        </is>
      </c>
      <c r="B88" s="3" t="inlineStr">
        <is>
          <t>Security Governance, Risk &amp; Compliance Analyst I</t>
        </is>
      </c>
      <c r="C88" s="8" t="inlineStr">
        <is>
          <t>applied</t>
        </is>
      </c>
      <c r="D88" s="2" t="inlineStr">
        <is>
          <t>Local system (job-search automation)</t>
        </is>
      </c>
      <c r="E88" s="2" t="inlineStr">
        <is>
          <t>2026-08-24</t>
        </is>
      </c>
      <c r="F88" s="2" t="inlineStr">
        <is>
          <t>2026-08-25</t>
        </is>
      </c>
      <c r="G88" s="2" t="n"/>
      <c r="H88" s="2" t="inlineStr">
        <is>
          <t>2026-08-24_BigCommerce_Security-GRC-Analyst-I\status.json</t>
        </is>
      </c>
    </row>
    <row r="89" ht="27" customHeight="1">
      <c r="A89" s="5" t="inlineStr">
        <is>
          <t>Blackstone</t>
        </is>
      </c>
      <c r="B89" s="6" t="inlineStr">
        <is>
          <t>Threat Intelligence Analyst, Associate - Security Operations</t>
        </is>
      </c>
      <c r="C89" s="8" t="inlineStr">
        <is>
          <t>applied</t>
        </is>
      </c>
      <c r="D89" s="5" t="inlineStr">
        <is>
          <t>Local system (job-search automation)</t>
        </is>
      </c>
      <c r="E89" s="5" t="inlineStr">
        <is>
          <t>2026-08-24</t>
        </is>
      </c>
      <c r="F89" s="5" t="inlineStr">
        <is>
          <t>2026-08-25</t>
        </is>
      </c>
      <c r="G89" s="5" t="n"/>
      <c r="H89" s="5" t="inlineStr">
        <is>
          <t>2026-08-24_Blackstone_Threat-Intelligence-Analyst-Associate\status.json</t>
        </is>
      </c>
    </row>
    <row r="90" ht="27" customHeight="1">
      <c r="A90" s="2" t="inlineStr">
        <is>
          <t>Kaskaskia College</t>
        </is>
      </c>
      <c r="B90" s="3" t="inlineStr">
        <is>
          <t>Asst. Professor of Cybersecurity and Network Administration</t>
        </is>
      </c>
      <c r="C90" s="8" t="inlineStr">
        <is>
          <t>applied</t>
        </is>
      </c>
      <c r="D90" s="2" t="inlineStr">
        <is>
          <t>Local system + email confirmed</t>
        </is>
      </c>
      <c r="E90" s="2" t="inlineStr">
        <is>
          <t>2026-08-24</t>
        </is>
      </c>
      <c r="F90" s="2" t="inlineStr">
        <is>
          <t>2026-08-25</t>
        </is>
      </c>
      <c r="G90" s="2" t="inlineStr">
        <is>
          <t>Received</t>
        </is>
      </c>
      <c r="H90" s="2" t="inlineStr">
        <is>
          <t>2026-08-24_Kaskaskia-College_Assistant-Professor-Cybersecurity-and-Network-Administration\status.json</t>
        </is>
      </c>
    </row>
    <row r="91">
      <c r="A91" s="5" t="inlineStr">
        <is>
          <t>NetCov (Network Coverage)</t>
        </is>
      </c>
      <c r="B91" s="6" t="inlineStr">
        <is>
          <t>GRC Analyst</t>
        </is>
      </c>
      <c r="C91" s="8" t="inlineStr">
        <is>
          <t>applied</t>
        </is>
      </c>
      <c r="D91" s="5" t="inlineStr">
        <is>
          <t>Local system + email confirmed</t>
        </is>
      </c>
      <c r="E91" s="5" t="inlineStr">
        <is>
          <t>2026-08-24</t>
        </is>
      </c>
      <c r="F91" s="5" t="inlineStr">
        <is>
          <t>2026-08-25</t>
        </is>
      </c>
      <c r="G91" s="5" t="inlineStr">
        <is>
          <t>Received</t>
        </is>
      </c>
      <c r="H91" s="5" t="inlineStr">
        <is>
          <t>2026-08-24_NetCov_GRC-Analyst\status.json</t>
        </is>
      </c>
    </row>
    <row r="92" ht="27" customHeight="1">
      <c r="A92" s="2" t="inlineStr">
        <is>
          <t>Huntington Bank</t>
        </is>
      </c>
      <c r="B92" s="3" t="inlineStr">
        <is>
          <t>Manager of Cybersecurity Strategy and Governance</t>
        </is>
      </c>
      <c r="C92" s="8" t="inlineStr">
        <is>
          <t>applied</t>
        </is>
      </c>
      <c r="D92" s="2" t="inlineStr">
        <is>
          <t>Local system (job-search automation)</t>
        </is>
      </c>
      <c r="E92" s="2" t="inlineStr">
        <is>
          <t>2026-08-25</t>
        </is>
      </c>
      <c r="F92" s="2" t="inlineStr">
        <is>
          <t>2026-08-25</t>
        </is>
      </c>
      <c r="G92" s="2" t="n"/>
      <c r="H92" s="2" t="inlineStr">
        <is>
          <t>2026-08-25_Huntington-Bank_Manager-Cybersecurity-Strategy-and-Governance\status.json</t>
        </is>
      </c>
    </row>
    <row r="93">
      <c r="A93" s="5" t="inlineStr">
        <is>
          <t>Huntress</t>
        </is>
      </c>
      <c r="B93" s="6" t="inlineStr">
        <is>
          <t>Senior Technical Trainer - Security</t>
        </is>
      </c>
      <c r="C93" s="8" t="inlineStr">
        <is>
          <t>applied</t>
        </is>
      </c>
      <c r="D93" s="5" t="inlineStr">
        <is>
          <t>Local system + email confirmed</t>
        </is>
      </c>
      <c r="E93" s="5" t="inlineStr">
        <is>
          <t>2026-08-25</t>
        </is>
      </c>
      <c r="F93" s="5" t="inlineStr">
        <is>
          <t>2026-08-25</t>
        </is>
      </c>
      <c r="G93" s="5" t="inlineStr">
        <is>
          <t>Received</t>
        </is>
      </c>
      <c r="H93" s="5" t="inlineStr">
        <is>
          <t>2026-08-25_Huntress_Senior-Technical-Trainer-Security\status.json</t>
        </is>
      </c>
    </row>
    <row r="94">
      <c r="A94" s="2" t="inlineStr">
        <is>
          <t>Texas A&amp;M University-Kingsville</t>
        </is>
      </c>
      <c r="B94" s="3" t="inlineStr">
        <is>
          <t>Security Analyst I</t>
        </is>
      </c>
      <c r="C94" s="4" t="inlineStr">
        <is>
          <t>closed</t>
        </is>
      </c>
      <c r="D94" s="2" t="inlineStr">
        <is>
          <t>Local system (job-search automation)</t>
        </is>
      </c>
      <c r="E94" s="2" t="inlineStr">
        <is>
          <t>2026-08-25</t>
        </is>
      </c>
      <c r="F94" s="2" t="n"/>
      <c r="G94" s="2" t="n"/>
      <c r="H94" s="2" t="inlineStr">
        <is>
          <t>2026-08-25_Texas-A-and-M-University-Kingsville_Security-Analyst-I\status.json</t>
        </is>
      </c>
    </row>
    <row r="95">
      <c r="A95" s="5" t="inlineStr">
        <is>
          <t>CardWorks</t>
        </is>
      </c>
      <c r="B95" s="6" t="inlineStr">
        <is>
          <t>Director, Security Risk Management</t>
        </is>
      </c>
      <c r="C95" s="10" t="inlineStr">
        <is>
          <t>rejected</t>
        </is>
      </c>
      <c r="D95" s="5" t="inlineStr">
        <is>
          <t>Email only (self-submitted, not tracked locally)</t>
        </is>
      </c>
      <c r="E95" s="5" t="inlineStr">
        <is>
          <t>2026-08-25</t>
        </is>
      </c>
      <c r="F95" s="5" t="inlineStr">
        <is>
          <t>2026-08-25</t>
        </is>
      </c>
      <c r="G95" s="5" t="inlineStr">
        <is>
          <t>Rejected</t>
        </is>
      </c>
      <c r="H95" s="5" t="n"/>
    </row>
    <row r="96">
      <c r="A96" s="2" t="inlineStr">
        <is>
          <t>Healthcare Shares</t>
        </is>
      </c>
      <c r="B96" s="3" t="inlineStr">
        <is>
          <t>Cyber Risk Quantification</t>
        </is>
      </c>
      <c r="C96" s="8" t="inlineStr">
        <is>
          <t>applied</t>
        </is>
      </c>
      <c r="D96" s="2" t="inlineStr">
        <is>
          <t>Local system (job-search automation)</t>
        </is>
      </c>
      <c r="E96" s="2" t="inlineStr">
        <is>
          <t>2026-08-24</t>
        </is>
      </c>
      <c r="F96" s="2" t="inlineStr">
        <is>
          <t>2026-08-24</t>
        </is>
      </c>
      <c r="G96" s="2" t="n"/>
      <c r="H96" s="2" t="inlineStr">
        <is>
          <t>2026-08-24_Healthcare-Shares_Cyber-Risk-Quantification\status.json</t>
        </is>
      </c>
    </row>
    <row r="97" ht="27" customHeight="1">
      <c r="A97" s="5" t="inlineStr">
        <is>
          <t>JPMorganChase</t>
        </is>
      </c>
      <c r="B97" s="6" t="inlineStr">
        <is>
          <t>Hiring Event - Security Architecture &amp; Engineering (Sep 24-25, 2026)</t>
        </is>
      </c>
      <c r="C97" s="8" t="inlineStr">
        <is>
          <t>applied</t>
        </is>
      </c>
      <c r="D97" s="5" t="inlineStr">
        <is>
          <t>Local system (job-search automation)</t>
        </is>
      </c>
      <c r="E97" s="5" t="inlineStr">
        <is>
          <t>2026-08-24</t>
        </is>
      </c>
      <c r="F97" s="5" t="inlineStr">
        <is>
          <t>2026-08-24</t>
        </is>
      </c>
      <c r="G97" s="5" t="n"/>
      <c r="H97" s="5" t="inlineStr">
        <is>
          <t>2026-08-24_JPMorganChase_Security-Architecture-Engineering-Hiring-Event\status.json</t>
        </is>
      </c>
    </row>
    <row r="98" ht="27" customHeight="1">
      <c r="A98" s="2" t="inlineStr">
        <is>
          <t>St. Mary's College of Maryland</t>
        </is>
      </c>
      <c r="B98" s="3" t="inlineStr">
        <is>
          <t>Systems Administrator / Senior Systems Administrator</t>
        </is>
      </c>
      <c r="C98" s="9" t="inlineStr">
        <is>
          <t>needs_manual_completion</t>
        </is>
      </c>
      <c r="D98" s="2" t="inlineStr">
        <is>
          <t>Local system (job-search automation)</t>
        </is>
      </c>
      <c r="E98" s="2" t="inlineStr">
        <is>
          <t>2026-08-24</t>
        </is>
      </c>
      <c r="F98" s="2" t="n"/>
      <c r="G98" s="2" t="n"/>
      <c r="H98" s="2" t="inlineStr">
        <is>
          <t>2026-08-24_St-Marys-College-of-Maryland_Systems-Administrator\status.json</t>
        </is>
      </c>
    </row>
    <row r="99">
      <c r="A99" s="5" t="inlineStr">
        <is>
          <t>System Soft Technologies</t>
        </is>
      </c>
      <c r="B99" s="6" t="inlineStr">
        <is>
          <t>Senior Privacy Analyst</t>
        </is>
      </c>
      <c r="C99" s="8" t="inlineStr">
        <is>
          <t>applied</t>
        </is>
      </c>
      <c r="D99" s="5" t="inlineStr">
        <is>
          <t>Local system (job-search automation)</t>
        </is>
      </c>
      <c r="E99" s="5" t="inlineStr">
        <is>
          <t>2026-08-24</t>
        </is>
      </c>
      <c r="F99" s="5" t="inlineStr">
        <is>
          <t>2026-08-24</t>
        </is>
      </c>
      <c r="G99" s="5" t="n"/>
      <c r="H99" s="5" t="inlineStr">
        <is>
          <t>2026-08-24_System-Soft-Technologies_Senior-Privacy-Analyst\status.json</t>
        </is>
      </c>
    </row>
    <row r="100">
      <c r="A100" s="2" t="inlineStr">
        <is>
          <t>Antier Solutions Pvt. Ltd</t>
        </is>
      </c>
      <c r="B100" s="3" t="inlineStr">
        <is>
          <t>Cybersecurity Trainer</t>
        </is>
      </c>
      <c r="C100" s="8" t="inlineStr">
        <is>
          <t>applied</t>
        </is>
      </c>
      <c r="D100" s="2" t="inlineStr">
        <is>
          <t>Email only (self-submitted, not tracked locally)</t>
        </is>
      </c>
      <c r="E100" s="2" t="inlineStr">
        <is>
          <t>2026-08-24</t>
        </is>
      </c>
      <c r="F100" s="2" t="inlineStr">
        <is>
          <t>2026-08-24</t>
        </is>
      </c>
      <c r="G100" s="2" t="inlineStr">
        <is>
          <t>Received</t>
        </is>
      </c>
      <c r="H100" s="2" t="n"/>
    </row>
    <row r="101">
      <c r="A101" s="5" t="inlineStr">
        <is>
          <t>ASU Enterprise Partners</t>
        </is>
      </c>
      <c r="B101" s="6" t="inlineStr">
        <is>
          <t>Director, Cybersecurity and Risk</t>
        </is>
      </c>
      <c r="C101" s="8" t="inlineStr">
        <is>
          <t>applied</t>
        </is>
      </c>
      <c r="D101" s="5" t="inlineStr">
        <is>
          <t>Email only (self-submitted, not tracked locally)</t>
        </is>
      </c>
      <c r="E101" s="5" t="inlineStr">
        <is>
          <t>2026-08-24</t>
        </is>
      </c>
      <c r="F101" s="5" t="inlineStr">
        <is>
          <t>2026-08-24</t>
        </is>
      </c>
      <c r="G101" s="5" t="inlineStr">
        <is>
          <t>Received</t>
        </is>
      </c>
      <c r="H101" s="5" t="n"/>
    </row>
    <row r="102">
      <c r="A102" s="2" t="inlineStr">
        <is>
          <t>Murray State University</t>
        </is>
      </c>
      <c r="B102" s="3" t="inlineStr">
        <is>
          <t>Systems Administrator</t>
        </is>
      </c>
      <c r="C102" s="4" t="inlineStr">
        <is>
          <t>not_pursuing</t>
        </is>
      </c>
      <c r="D102" s="2" t="inlineStr">
        <is>
          <t>Local system + email confirmed</t>
        </is>
      </c>
      <c r="E102" s="2" t="inlineStr">
        <is>
          <t>2026-08-23</t>
        </is>
      </c>
      <c r="F102" s="2" t="n"/>
      <c r="G102" s="2" t="inlineStr">
        <is>
          <t>Rejected</t>
        </is>
      </c>
      <c r="H102" s="2" t="inlineStr">
        <is>
          <t>2026-08-23_Murray-State-University_Systems-Administrator\status.json</t>
        </is>
      </c>
    </row>
    <row r="103">
      <c r="A103" s="5" t="inlineStr">
        <is>
          <t>Bluegrass Community &amp; Technical College (KCTCS)</t>
        </is>
      </c>
      <c r="B103" s="6" t="inlineStr">
        <is>
          <t>Adjunct Faculty - Cybersecurity</t>
        </is>
      </c>
      <c r="C103" s="4" t="inlineStr">
        <is>
          <t>not_pursuing</t>
        </is>
      </c>
      <c r="D103" s="5" t="inlineStr">
        <is>
          <t>Local system + email confirmed</t>
        </is>
      </c>
      <c r="E103" s="5" t="inlineStr">
        <is>
          <t>2026-08-22</t>
        </is>
      </c>
      <c r="F103" s="5" t="n"/>
      <c r="G103" s="5" t="inlineStr">
        <is>
          <t>Received</t>
        </is>
      </c>
      <c r="H103" s="5" t="inlineStr">
        <is>
          <t>2026-08-22_Bluegrass-Community-and-Technical-College_Adjunct-Faculty-Cybersecurity\status.json</t>
        </is>
      </c>
    </row>
    <row r="104">
      <c r="A104" s="2" t="inlineStr">
        <is>
          <t>Clover Park Technical College</t>
        </is>
      </c>
      <c r="B104" s="3" t="inlineStr">
        <is>
          <t>Cybersecurity Faculty, Tenure Track</t>
        </is>
      </c>
      <c r="C104" s="8" t="inlineStr">
        <is>
          <t>applied</t>
        </is>
      </c>
      <c r="D104" s="2" t="inlineStr">
        <is>
          <t>Local system + email confirmed</t>
        </is>
      </c>
      <c r="E104" s="2" t="inlineStr">
        <is>
          <t>2026-08-22</t>
        </is>
      </c>
      <c r="F104" s="2" t="inlineStr">
        <is>
          <t>2026-08-22</t>
        </is>
      </c>
      <c r="G104" s="2" t="inlineStr">
        <is>
          <t>Received</t>
        </is>
      </c>
      <c r="H104" s="2" t="inlineStr">
        <is>
          <t>2026-08-22_Clover-Park-Technical-College_Cybersecurity-Faculty-Tenure-Track\status.json</t>
        </is>
      </c>
    </row>
    <row r="105" ht="27" customHeight="1">
      <c r="A105" s="5" t="inlineStr">
        <is>
          <t>Mount Wachusett Community College</t>
        </is>
      </c>
      <c r="B105" s="6" t="inlineStr">
        <is>
          <t>Full Time Faculty, Computer Information Systems</t>
        </is>
      </c>
      <c r="C105" s="8" t="inlineStr">
        <is>
          <t>applied</t>
        </is>
      </c>
      <c r="D105" s="5" t="inlineStr">
        <is>
          <t>Local system (job-search automation)</t>
        </is>
      </c>
      <c r="E105" s="5" t="inlineStr">
        <is>
          <t>2026-08-22</t>
        </is>
      </c>
      <c r="F105" s="5" t="inlineStr">
        <is>
          <t>2026-08-22</t>
        </is>
      </c>
      <c r="G105" s="5" t="n"/>
      <c r="H105" s="5" t="inlineStr">
        <is>
          <t>2026-08-22_Mount-Wachusett-Community-College_Full-Time-Faculty-CIS\status.json</t>
        </is>
      </c>
    </row>
    <row r="106">
      <c r="A106" s="2" t="inlineStr">
        <is>
          <t>Northeastern University - Khoury College of Computer Sciences</t>
        </is>
      </c>
      <c r="B106" s="3" t="inlineStr">
        <is>
          <t>Part-Time Lecturer, MS in Cybersecurity</t>
        </is>
      </c>
      <c r="C106" s="4" t="inlineStr">
        <is>
          <t>not_pursuing</t>
        </is>
      </c>
      <c r="D106" s="2" t="inlineStr">
        <is>
          <t>Local system (job-search automation)</t>
        </is>
      </c>
      <c r="E106" s="2" t="inlineStr">
        <is>
          <t>2026-08-22</t>
        </is>
      </c>
      <c r="F106" s="2" t="n"/>
      <c r="G106" s="2" t="n"/>
      <c r="H106" s="2" t="inlineStr">
        <is>
          <t>2026-08-22_Northeastern-University_Part-Time-Lecturer-MS-Cybersecurity\status.json</t>
        </is>
      </c>
    </row>
    <row r="107" ht="27" customHeight="1">
      <c r="A107" s="5" t="inlineStr">
        <is>
          <t>St. Mary's College of Maryland</t>
        </is>
      </c>
      <c r="B107" s="6" t="inlineStr">
        <is>
          <t>Assistant/Associate Professor of Computer Science (multiple positions)</t>
        </is>
      </c>
      <c r="C107" s="8" t="inlineStr">
        <is>
          <t>applied</t>
        </is>
      </c>
      <c r="D107" s="5" t="inlineStr">
        <is>
          <t>Local system (job-search automation)</t>
        </is>
      </c>
      <c r="E107" s="5" t="inlineStr">
        <is>
          <t>2026-08-22</t>
        </is>
      </c>
      <c r="F107" s="5" t="inlineStr">
        <is>
          <t>2026-08-22</t>
        </is>
      </c>
      <c r="G107" s="5" t="n"/>
      <c r="H107" s="5" t="inlineStr">
        <is>
          <t>2026-08-22_St-Marys-College-of-Maryland_Assistant-Professor-Computer-Science\status.json</t>
        </is>
      </c>
    </row>
    <row r="108">
      <c r="A108" s="2" t="inlineStr">
        <is>
          <t>Tulsa Community College</t>
        </is>
      </c>
      <c r="B108" s="3" t="inlineStr">
        <is>
          <t>Adjunct Faculty - Cybersecurity (Skills Lab)</t>
        </is>
      </c>
      <c r="C108" s="4" t="inlineStr">
        <is>
          <t>not_pursuing</t>
        </is>
      </c>
      <c r="D108" s="2" t="inlineStr">
        <is>
          <t>Local system + email confirmed</t>
        </is>
      </c>
      <c r="E108" s="2" t="inlineStr">
        <is>
          <t>2026-08-22</t>
        </is>
      </c>
      <c r="F108" s="2" t="n"/>
      <c r="G108" s="2" t="inlineStr">
        <is>
          <t>Received</t>
        </is>
      </c>
      <c r="H108" s="2" t="inlineStr">
        <is>
          <t>2026-08-22_Tulsa-Community-College_Adjunct-Faculty-Cybersecurity\status.json</t>
        </is>
      </c>
    </row>
    <row r="109" ht="27" customHeight="1">
      <c r="A109" s="5" t="inlineStr">
        <is>
          <t>Washington State University - Everett (School of Electrical Engineering and Computer Science)</t>
        </is>
      </c>
      <c r="B109" s="6" t="inlineStr">
        <is>
          <t>Assistant Professor (Career-Track), Cybersecurity</t>
        </is>
      </c>
      <c r="C109" s="8" t="inlineStr">
        <is>
          <t>applied</t>
        </is>
      </c>
      <c r="D109" s="5" t="inlineStr">
        <is>
          <t>Local system + email confirmed</t>
        </is>
      </c>
      <c r="E109" s="5" t="inlineStr">
        <is>
          <t>2026-08-22</t>
        </is>
      </c>
      <c r="F109" s="5" t="inlineStr">
        <is>
          <t>2026-08-22</t>
        </is>
      </c>
      <c r="G109" s="5" t="inlineStr">
        <is>
          <t>Received</t>
        </is>
      </c>
      <c r="H109" s="5" t="inlineStr">
        <is>
          <t>2026-08-22_WSU-Everett_Assistant-Professor-Cybersecurity\status.json</t>
        </is>
      </c>
    </row>
    <row r="110" ht="27" customHeight="1">
      <c r="A110" s="2" t="inlineStr">
        <is>
          <t>West Coast Consulting</t>
        </is>
      </c>
      <c r="B110" s="3" t="inlineStr">
        <is>
          <t>Governance, Risk and Compliance Senior Analyst</t>
        </is>
      </c>
      <c r="C110" s="10" t="inlineStr">
        <is>
          <t>rejected</t>
        </is>
      </c>
      <c r="D110" s="2" t="inlineStr">
        <is>
          <t>Local system + email confirmed</t>
        </is>
      </c>
      <c r="E110" s="2" t="inlineStr">
        <is>
          <t>2026-08-22</t>
        </is>
      </c>
      <c r="F110" s="2" t="n"/>
      <c r="G110" s="2" t="inlineStr">
        <is>
          <t>Next Stage</t>
        </is>
      </c>
      <c r="H110" s="2" t="inlineStr">
        <is>
          <t>2026-08-22_West-Coast-Consulting_GRC-Senior-Analyst\status.json</t>
        </is>
      </c>
    </row>
    <row r="111">
      <c r="A111" s="5" t="inlineStr">
        <is>
          <t>Western Governors University</t>
        </is>
      </c>
      <c r="B111" s="6" t="inlineStr">
        <is>
          <t>IT Risk Analyst II</t>
        </is>
      </c>
      <c r="C111" s="4" t="inlineStr">
        <is>
          <t>not_pursuing</t>
        </is>
      </c>
      <c r="D111" s="5" t="inlineStr">
        <is>
          <t>Local system (job-search automation)</t>
        </is>
      </c>
      <c r="E111" s="5" t="inlineStr">
        <is>
          <t>2026-08-22</t>
        </is>
      </c>
      <c r="F111" s="5" t="n"/>
      <c r="G111" s="5" t="n"/>
      <c r="H111" s="5" t="inlineStr">
        <is>
          <t>2026-08-22_Western-Governors-University_IT-Risk-Analyst-II\status.json</t>
        </is>
      </c>
    </row>
    <row r="112">
      <c r="A112" s="2" t="inlineStr">
        <is>
          <t>Central Texas College (TX)</t>
        </is>
      </c>
      <c r="B112" s="3" t="inlineStr">
        <is>
          <t>Professor, Computer Science</t>
        </is>
      </c>
      <c r="C112" s="7" t="inlineStr">
        <is>
          <t>Awaiting Decision</t>
        </is>
      </c>
      <c r="D112" s="2" t="inlineStr">
        <is>
          <t>Local system + email confirmed</t>
        </is>
      </c>
      <c r="E112" s="2" t="inlineStr">
        <is>
          <t>2026-08-22</t>
        </is>
      </c>
      <c r="F112" s="2" t="inlineStr">
        <is>
          <t>2026-08-21T22:56:00-05:00</t>
        </is>
      </c>
      <c r="G112" s="2" t="inlineStr">
        <is>
          <t>Received</t>
        </is>
      </c>
      <c r="H112" s="2" t="inlineStr">
        <is>
          <t>2026-08-22_Central-Texas-College_Professor-Computer-Science\status.json</t>
        </is>
      </c>
    </row>
    <row r="113">
      <c r="A113" s="5" t="inlineStr">
        <is>
          <t>University of Alabama at Birmingham (UAB)</t>
        </is>
      </c>
      <c r="B113" s="6" t="inlineStr">
        <is>
          <t>Computational Scientist</t>
        </is>
      </c>
      <c r="C113" s="8" t="inlineStr">
        <is>
          <t>applied</t>
        </is>
      </c>
      <c r="D113" s="5" t="inlineStr">
        <is>
          <t>Email only (self-submitted, not tracked locally)</t>
        </is>
      </c>
      <c r="E113" s="5" t="inlineStr">
        <is>
          <t>2026-08-21</t>
        </is>
      </c>
      <c r="F113" s="5" t="inlineStr">
        <is>
          <t>2026-08-21</t>
        </is>
      </c>
      <c r="G113" s="5" t="inlineStr">
        <is>
          <t>Received</t>
        </is>
      </c>
      <c r="H113" s="5" t="n"/>
    </row>
    <row r="114">
      <c r="A114" s="2" t="inlineStr">
        <is>
          <t>Humana</t>
        </is>
      </c>
      <c r="B114" s="3" t="inlineStr">
        <is>
          <t>Internal Auditor</t>
        </is>
      </c>
      <c r="C114" s="8" t="inlineStr">
        <is>
          <t>applied</t>
        </is>
      </c>
      <c r="D114" s="2" t="inlineStr">
        <is>
          <t>Email only (self-submitted, not tracked locally)</t>
        </is>
      </c>
      <c r="E114" s="2" t="inlineStr">
        <is>
          <t>2026-08-21</t>
        </is>
      </c>
      <c r="F114" s="2" t="inlineStr">
        <is>
          <t>2026-08-21</t>
        </is>
      </c>
      <c r="G114" s="2" t="inlineStr">
        <is>
          <t>Received</t>
        </is>
      </c>
      <c r="H114" s="2" t="n"/>
    </row>
    <row r="115" ht="27" customHeight="1">
      <c r="A115" s="5" t="inlineStr">
        <is>
          <t>University of Michigan</t>
        </is>
      </c>
      <c r="B115" s="6" t="inlineStr">
        <is>
          <t>Assistant Professor Tenure-Track - Dept. of Cybersecurity</t>
        </is>
      </c>
      <c r="C115" s="8" t="inlineStr">
        <is>
          <t>applied</t>
        </is>
      </c>
      <c r="D115" s="5" t="inlineStr">
        <is>
          <t>Email only (self-submitted, not tracked locally)</t>
        </is>
      </c>
      <c r="E115" s="5" t="inlineStr">
        <is>
          <t>2026-08-20</t>
        </is>
      </c>
      <c r="F115" s="5" t="inlineStr">
        <is>
          <t>2026-08-20</t>
        </is>
      </c>
      <c r="G115" s="5" t="inlineStr">
        <is>
          <t>Received</t>
        </is>
      </c>
      <c r="H115" s="5" t="n"/>
    </row>
    <row r="116">
      <c r="A116" s="2" t="inlineStr">
        <is>
          <t>Hastings College</t>
        </is>
      </c>
      <c r="B116" s="3" t="inlineStr">
        <is>
          <t>(role not specified in confirmation)</t>
        </is>
      </c>
      <c r="C116" s="8" t="inlineStr">
        <is>
          <t>applied</t>
        </is>
      </c>
      <c r="D116" s="2" t="inlineStr">
        <is>
          <t>Email only (self-submitted, not tracked locally)</t>
        </is>
      </c>
      <c r="E116" s="2" t="inlineStr">
        <is>
          <t>2026-08-20</t>
        </is>
      </c>
      <c r="F116" s="2" t="inlineStr">
        <is>
          <t>2026-08-20</t>
        </is>
      </c>
      <c r="G116" s="2" t="inlineStr">
        <is>
          <t>Received</t>
        </is>
      </c>
      <c r="H116" s="2" t="n"/>
    </row>
    <row r="117" ht="27" customHeight="1">
      <c r="A117" s="5" t="inlineStr">
        <is>
          <t>Boston University</t>
        </is>
      </c>
      <c r="B117" s="6" t="inlineStr">
        <is>
          <t>Client Technology Analyst I, Technology Experience</t>
        </is>
      </c>
      <c r="C117" s="8" t="inlineStr">
        <is>
          <t>applied</t>
        </is>
      </c>
      <c r="D117" s="5" t="inlineStr">
        <is>
          <t>Email only (self-submitted, not tracked locally)</t>
        </is>
      </c>
      <c r="E117" s="5" t="inlineStr">
        <is>
          <t>2026-08-20</t>
        </is>
      </c>
      <c r="F117" s="5" t="inlineStr">
        <is>
          <t>2026-08-20</t>
        </is>
      </c>
      <c r="G117" s="5" t="inlineStr">
        <is>
          <t>Received</t>
        </is>
      </c>
      <c r="H117" s="5" t="n"/>
    </row>
    <row r="118">
      <c r="A118" s="2" t="inlineStr">
        <is>
          <t>Thermo Systems LLC</t>
        </is>
      </c>
      <c r="B118" s="3" t="inlineStr">
        <is>
          <t>Project Manager</t>
        </is>
      </c>
      <c r="C118" s="10" t="inlineStr">
        <is>
          <t>rejected</t>
        </is>
      </c>
      <c r="D118" s="2" t="inlineStr">
        <is>
          <t>Email only (self-submitted, not tracked locally)</t>
        </is>
      </c>
      <c r="E118" s="2" t="inlineStr">
        <is>
          <t>2026-08-20</t>
        </is>
      </c>
      <c r="F118" s="2" t="inlineStr">
        <is>
          <t>2026-08-20</t>
        </is>
      </c>
      <c r="G118" s="2" t="inlineStr">
        <is>
          <t>Rejected</t>
        </is>
      </c>
      <c r="H118" s="2" t="n"/>
    </row>
    <row r="119">
      <c r="A119" s="5" t="inlineStr">
        <is>
          <t>Vercel</t>
        </is>
      </c>
      <c r="B119" s="6" t="inlineStr">
        <is>
          <t>GRC Analyst</t>
        </is>
      </c>
      <c r="C119" s="10" t="inlineStr">
        <is>
          <t>rejected</t>
        </is>
      </c>
      <c r="D119" s="5" t="inlineStr">
        <is>
          <t>Email only (self-submitted, not tracked locally)</t>
        </is>
      </c>
      <c r="E119" s="5" t="inlineStr">
        <is>
          <t>2026-08-19</t>
        </is>
      </c>
      <c r="F119" s="5" t="inlineStr">
        <is>
          <t>2026-08-19</t>
        </is>
      </c>
      <c r="G119" s="5" t="inlineStr">
        <is>
          <t>Rejected</t>
        </is>
      </c>
      <c r="H119" s="5" t="n"/>
    </row>
    <row r="120">
      <c r="A120" s="2" t="inlineStr">
        <is>
          <t>(governmentjobs.com posting)</t>
        </is>
      </c>
      <c r="B120" s="3" t="inlineStr">
        <is>
          <t>Cybersecurity Analyst III</t>
        </is>
      </c>
      <c r="C120" s="10" t="inlineStr">
        <is>
          <t>rejected</t>
        </is>
      </c>
      <c r="D120" s="2" t="inlineStr">
        <is>
          <t>Email only (self-submitted, not tracked locally)</t>
        </is>
      </c>
      <c r="E120" s="2" t="inlineStr">
        <is>
          <t>2026-08-18</t>
        </is>
      </c>
      <c r="F120" s="2" t="inlineStr">
        <is>
          <t>2026-08-18</t>
        </is>
      </c>
      <c r="G120" s="2" t="inlineStr">
        <is>
          <t>Rejected</t>
        </is>
      </c>
      <c r="H120" s="2" t="n"/>
    </row>
    <row r="121">
      <c r="A121" s="5" t="inlineStr">
        <is>
          <t>Oregon Metro</t>
        </is>
      </c>
      <c r="B121" s="6" t="inlineStr">
        <is>
          <t>(role not specified in confirmation)</t>
        </is>
      </c>
      <c r="C121" s="8" t="inlineStr">
        <is>
          <t>applied</t>
        </is>
      </c>
      <c r="D121" s="5" t="inlineStr">
        <is>
          <t>Email only (self-submitted, not tracked locally)</t>
        </is>
      </c>
      <c r="E121" s="5" t="inlineStr">
        <is>
          <t>2026-08-18</t>
        </is>
      </c>
      <c r="F121" s="5" t="inlineStr">
        <is>
          <t>2026-08-18</t>
        </is>
      </c>
      <c r="G121" s="5" t="inlineStr">
        <is>
          <t>Received</t>
        </is>
      </c>
      <c r="H121" s="5" t="n"/>
    </row>
    <row r="122">
      <c r="A122" s="2" t="inlineStr">
        <is>
          <t>Nicolet Area Technical College</t>
        </is>
      </c>
      <c r="B122" s="3" t="inlineStr">
        <is>
          <t>(role not specified in confirmation)</t>
        </is>
      </c>
      <c r="C122" s="8" t="inlineStr">
        <is>
          <t>applied</t>
        </is>
      </c>
      <c r="D122" s="2" t="inlineStr">
        <is>
          <t>Email only (self-submitted, not tracked locally)</t>
        </is>
      </c>
      <c r="E122" s="2" t="inlineStr">
        <is>
          <t>2026-08-18</t>
        </is>
      </c>
      <c r="F122" s="2" t="inlineStr">
        <is>
          <t>2026-08-18</t>
        </is>
      </c>
      <c r="G122" s="2" t="inlineStr">
        <is>
          <t>Received</t>
        </is>
      </c>
      <c r="H122" s="2" t="n"/>
    </row>
    <row r="123">
      <c r="A123" s="5" t="inlineStr">
        <is>
          <t>United Wholesale Mortgage (UWM)</t>
        </is>
      </c>
      <c r="B123" s="6" t="inlineStr">
        <is>
          <t>IT GRC Program Administrator II</t>
        </is>
      </c>
      <c r="C123" s="7" t="inlineStr">
        <is>
          <t>Rejected</t>
        </is>
      </c>
      <c r="D123" s="5" t="inlineStr">
        <is>
          <t>Local system + email confirmed</t>
        </is>
      </c>
      <c r="E123" s="5" t="inlineStr">
        <is>
          <t>2026-08-17</t>
        </is>
      </c>
      <c r="F123" s="5" t="n"/>
      <c r="G123" s="5" t="inlineStr">
        <is>
          <t>Received</t>
        </is>
      </c>
      <c r="H123" s="5" t="inlineStr">
        <is>
          <t>2026-08-17_United-Wholesale-Mortgage_IT-GRC-Program-Administrator-II\status.json</t>
        </is>
      </c>
    </row>
    <row r="124">
      <c r="A124" s="2" t="inlineStr">
        <is>
          <t>Manhattan Associates</t>
        </is>
      </c>
      <c r="B124" s="3" t="inlineStr">
        <is>
          <t>Manager, Learning Experience Design</t>
        </is>
      </c>
      <c r="C124" s="8" t="inlineStr">
        <is>
          <t>applied</t>
        </is>
      </c>
      <c r="D124" s="2" t="inlineStr">
        <is>
          <t>Email only (self-submitted, not tracked locally)</t>
        </is>
      </c>
      <c r="E124" s="2" t="inlineStr">
        <is>
          <t>2026-08-14</t>
        </is>
      </c>
      <c r="F124" s="2" t="inlineStr">
        <is>
          <t>2026-08-14</t>
        </is>
      </c>
      <c r="G124" s="2" t="inlineStr">
        <is>
          <t>Received</t>
        </is>
      </c>
      <c r="H124" s="2" t="n"/>
    </row>
    <row r="125">
      <c r="A125" s="5" t="inlineStr">
        <is>
          <t>Manhattan Associates</t>
        </is>
      </c>
      <c r="B125" s="6" t="inlineStr">
        <is>
          <t>SEO &amp; AI Search Manager</t>
        </is>
      </c>
      <c r="C125" s="8" t="inlineStr">
        <is>
          <t>applied</t>
        </is>
      </c>
      <c r="D125" s="5" t="inlineStr">
        <is>
          <t>Email only (self-submitted, not tracked locally)</t>
        </is>
      </c>
      <c r="E125" s="5" t="inlineStr">
        <is>
          <t>2026-08-14</t>
        </is>
      </c>
      <c r="F125" s="5" t="inlineStr">
        <is>
          <t>2026-08-14</t>
        </is>
      </c>
      <c r="G125" s="5" t="inlineStr">
        <is>
          <t>Received</t>
        </is>
      </c>
      <c r="H125" s="5" t="n"/>
    </row>
    <row r="126">
      <c r="A126" s="2" t="inlineStr">
        <is>
          <t>Valence</t>
        </is>
      </c>
      <c r="B126" s="3" t="inlineStr">
        <is>
          <t>GRC Manager</t>
        </is>
      </c>
      <c r="C126" s="8" t="inlineStr">
        <is>
          <t>applied</t>
        </is>
      </c>
      <c r="D126" s="2" t="inlineStr">
        <is>
          <t>Email only (self-submitted, not tracked locally)</t>
        </is>
      </c>
      <c r="E126" s="2" t="inlineStr">
        <is>
          <t>2026-08-14</t>
        </is>
      </c>
      <c r="F126" s="2" t="inlineStr">
        <is>
          <t>2026-08-14</t>
        </is>
      </c>
      <c r="G126" s="2" t="inlineStr">
        <is>
          <t>Received</t>
        </is>
      </c>
      <c r="H126" s="2" t="n"/>
    </row>
    <row r="127">
      <c r="A127" s="5" t="inlineStr">
        <is>
          <t>Kirkland</t>
        </is>
      </c>
      <c r="B127" s="6" t="inlineStr">
        <is>
          <t>Cybersecurity GRC Specialist II</t>
        </is>
      </c>
      <c r="C127" s="8" t="inlineStr">
        <is>
          <t>applied</t>
        </is>
      </c>
      <c r="D127" s="5" t="inlineStr">
        <is>
          <t>Email only (self-submitted, not tracked locally)</t>
        </is>
      </c>
      <c r="E127" s="5" t="inlineStr">
        <is>
          <t>2026-08-14</t>
        </is>
      </c>
      <c r="F127" s="5" t="inlineStr">
        <is>
          <t>2026-08-14</t>
        </is>
      </c>
      <c r="G127" s="5" t="inlineStr">
        <is>
          <t>Received</t>
        </is>
      </c>
      <c r="H127" s="5" t="n"/>
    </row>
    <row r="128">
      <c r="A128" s="2" t="inlineStr">
        <is>
          <t>Fulcrum Global Technologies</t>
        </is>
      </c>
      <c r="B128" s="3" t="inlineStr">
        <is>
          <t>(role not specified in confirmation)</t>
        </is>
      </c>
      <c r="C128" s="8" t="inlineStr">
        <is>
          <t>applied</t>
        </is>
      </c>
      <c r="D128" s="2" t="inlineStr">
        <is>
          <t>Email only (self-submitted, not tracked locally)</t>
        </is>
      </c>
      <c r="E128" s="2" t="inlineStr">
        <is>
          <t>2026-08-14</t>
        </is>
      </c>
      <c r="F128" s="2" t="inlineStr">
        <is>
          <t>2026-08-14</t>
        </is>
      </c>
      <c r="G128" s="2" t="inlineStr">
        <is>
          <t>Received</t>
        </is>
      </c>
      <c r="H128" s="2" t="n"/>
    </row>
    <row r="129">
      <c r="A129" s="5" t="inlineStr">
        <is>
          <t>NinjaTrader</t>
        </is>
      </c>
      <c r="B129" s="6" t="inlineStr">
        <is>
          <t>GRC Engineer</t>
        </is>
      </c>
      <c r="C129" s="8" t="inlineStr">
        <is>
          <t>applied</t>
        </is>
      </c>
      <c r="D129" s="5" t="inlineStr">
        <is>
          <t>Email only (self-submitted, not tracked locally)</t>
        </is>
      </c>
      <c r="E129" s="5" t="inlineStr">
        <is>
          <t>2026-08-14</t>
        </is>
      </c>
      <c r="F129" s="5" t="inlineStr">
        <is>
          <t>2026-08-14</t>
        </is>
      </c>
      <c r="G129" s="5" t="inlineStr">
        <is>
          <t>Received</t>
        </is>
      </c>
      <c r="H129" s="5" t="n"/>
    </row>
    <row r="130" ht="27" customHeight="1">
      <c r="A130" s="2" t="inlineStr">
        <is>
          <t>Bowhead (UIC &amp; Family of Companies)</t>
        </is>
      </c>
      <c r="B130" s="3" t="inlineStr">
        <is>
          <t>Information System Security Manager (ISSM)</t>
        </is>
      </c>
      <c r="C130" s="8" t="inlineStr">
        <is>
          <t>applied</t>
        </is>
      </c>
      <c r="D130" s="2" t="inlineStr">
        <is>
          <t>Email only (self-submitted, not tracked locally)</t>
        </is>
      </c>
      <c r="E130" s="2" t="inlineStr">
        <is>
          <t>2026-08-13</t>
        </is>
      </c>
      <c r="F130" s="2" t="inlineStr">
        <is>
          <t>2026-08-13</t>
        </is>
      </c>
      <c r="G130" s="2" t="inlineStr">
        <is>
          <t>Received</t>
        </is>
      </c>
      <c r="H130" s="2" t="n"/>
    </row>
    <row r="131" ht="27" customHeight="1">
      <c r="A131" s="5" t="inlineStr">
        <is>
          <t>Tecta Corporate</t>
        </is>
      </c>
      <c r="B131" s="6" t="inlineStr">
        <is>
          <t>Director of Information Security and Data Governance</t>
        </is>
      </c>
      <c r="C131" s="8" t="inlineStr">
        <is>
          <t>applied</t>
        </is>
      </c>
      <c r="D131" s="5" t="inlineStr">
        <is>
          <t>Email only (self-submitted, not tracked locally)</t>
        </is>
      </c>
      <c r="E131" s="5" t="inlineStr">
        <is>
          <t>2026-08-12</t>
        </is>
      </c>
      <c r="F131" s="5" t="inlineStr">
        <is>
          <t>2026-08-12</t>
        </is>
      </c>
      <c r="G131" s="5" t="inlineStr">
        <is>
          <t>Received</t>
        </is>
      </c>
      <c r="H131" s="5" t="n"/>
    </row>
    <row r="132">
      <c r="A132" s="2" t="inlineStr">
        <is>
          <t>PLS</t>
        </is>
      </c>
      <c r="B132" s="3" t="inlineStr">
        <is>
          <t>(role not specified in confirmation)</t>
        </is>
      </c>
      <c r="C132" s="8" t="inlineStr">
        <is>
          <t>applied</t>
        </is>
      </c>
      <c r="D132" s="2" t="inlineStr">
        <is>
          <t>Email only (self-submitted, not tracked locally)</t>
        </is>
      </c>
      <c r="E132" s="2" t="inlineStr">
        <is>
          <t>2026-08-12</t>
        </is>
      </c>
      <c r="F132" s="2" t="inlineStr">
        <is>
          <t>2026-08-12</t>
        </is>
      </c>
      <c r="G132" s="2" t="inlineStr">
        <is>
          <t>Received</t>
        </is>
      </c>
      <c r="H132" s="2" t="n"/>
    </row>
    <row r="133">
      <c r="A133" s="5" t="inlineStr">
        <is>
          <t>Boston University</t>
        </is>
      </c>
      <c r="B133" s="6" t="inlineStr">
        <is>
          <t>Security Analyst II, BU Info Security</t>
        </is>
      </c>
      <c r="C133" s="8" t="inlineStr">
        <is>
          <t>applied</t>
        </is>
      </c>
      <c r="D133" s="5" t="inlineStr">
        <is>
          <t>Email only (self-submitted, not tracked locally)</t>
        </is>
      </c>
      <c r="E133" s="5" t="inlineStr">
        <is>
          <t>2026-08-09</t>
        </is>
      </c>
      <c r="F133" s="5" t="inlineStr">
        <is>
          <t>2026-08-09</t>
        </is>
      </c>
      <c r="G133" s="5" t="inlineStr">
        <is>
          <t>Received</t>
        </is>
      </c>
      <c r="H133" s="5" t="n"/>
    </row>
    <row r="134">
      <c r="A134" s="2" t="inlineStr">
        <is>
          <t>University of Alabama at Birmingham (UAB)</t>
        </is>
      </c>
      <c r="B134" s="3" t="inlineStr">
        <is>
          <t>Information Security Associate - ENT</t>
        </is>
      </c>
      <c r="C134" s="8" t="inlineStr">
        <is>
          <t>applied</t>
        </is>
      </c>
      <c r="D134" s="2" t="inlineStr">
        <is>
          <t>Email only (self-submitted, not tracked locally)</t>
        </is>
      </c>
      <c r="E134" s="2" t="inlineStr">
        <is>
          <t>2026-08-08</t>
        </is>
      </c>
      <c r="F134" s="2" t="inlineStr">
        <is>
          <t>2026-08-08</t>
        </is>
      </c>
      <c r="G134" s="2" t="inlineStr">
        <is>
          <t>Received</t>
        </is>
      </c>
      <c r="H134" s="2" t="n"/>
    </row>
    <row r="135" ht="27" customHeight="1">
      <c r="A135" s="5" t="inlineStr">
        <is>
          <t>(unspecified employer via Dayforce)</t>
        </is>
      </c>
      <c r="B135" s="6" t="inlineStr">
        <is>
          <t>Manager, Safety Management System (SMS)</t>
        </is>
      </c>
      <c r="C135" s="8" t="inlineStr">
        <is>
          <t>applied</t>
        </is>
      </c>
      <c r="D135" s="5" t="inlineStr">
        <is>
          <t>Email only (self-submitted, not tracked locally)</t>
        </is>
      </c>
      <c r="E135" s="5" t="inlineStr">
        <is>
          <t>2026-08-08</t>
        </is>
      </c>
      <c r="F135" s="5" t="inlineStr">
        <is>
          <t>2026-08-08</t>
        </is>
      </c>
      <c r="G135" s="5" t="inlineStr">
        <is>
          <t>Received</t>
        </is>
      </c>
      <c r="H135" s="5" t="n"/>
    </row>
    <row r="136">
      <c r="A136" s="2" t="inlineStr">
        <is>
          <t>Weill Cornell Medicine</t>
        </is>
      </c>
      <c r="B136" s="3" t="inlineStr">
        <is>
          <t>IT Support Analyst II</t>
        </is>
      </c>
      <c r="C136" s="8" t="inlineStr">
        <is>
          <t>applied</t>
        </is>
      </c>
      <c r="D136" s="2" t="inlineStr">
        <is>
          <t>Email only (self-submitted, not tracked locally)</t>
        </is>
      </c>
      <c r="E136" s="2" t="inlineStr">
        <is>
          <t>2026-08-08</t>
        </is>
      </c>
      <c r="F136" s="2" t="inlineStr">
        <is>
          <t>2026-08-08</t>
        </is>
      </c>
      <c r="G136" s="2" t="inlineStr">
        <is>
          <t>Received</t>
        </is>
      </c>
      <c r="H136" s="2" t="n"/>
    </row>
    <row r="137">
      <c r="A137" s="5" t="inlineStr">
        <is>
          <t>Mattermost</t>
        </is>
      </c>
      <c r="B137" s="6" t="inlineStr">
        <is>
          <t>GRC Engineer</t>
        </is>
      </c>
      <c r="C137" s="8" t="inlineStr">
        <is>
          <t>applied</t>
        </is>
      </c>
      <c r="D137" s="5" t="inlineStr">
        <is>
          <t>Email only (self-submitted, not tracked locally)</t>
        </is>
      </c>
      <c r="E137" s="5" t="inlineStr">
        <is>
          <t>2026-08-08</t>
        </is>
      </c>
      <c r="F137" s="5" t="inlineStr">
        <is>
          <t>2026-08-08</t>
        </is>
      </c>
      <c r="G137" s="5" t="inlineStr">
        <is>
          <t>Received</t>
        </is>
      </c>
      <c r="H137" s="5" t="n"/>
    </row>
    <row r="138">
      <c r="A138" s="2" t="inlineStr">
        <is>
          <t>South Suburban College</t>
        </is>
      </c>
      <c r="B138" s="3" t="inlineStr">
        <is>
          <t>(role not specified in confirmation)</t>
        </is>
      </c>
      <c r="C138" s="8" t="inlineStr">
        <is>
          <t>applied</t>
        </is>
      </c>
      <c r="D138" s="2" t="inlineStr">
        <is>
          <t>Email only (self-submitted, not tracked locally)</t>
        </is>
      </c>
      <c r="E138" s="2" t="inlineStr">
        <is>
          <t>2026-08-08</t>
        </is>
      </c>
      <c r="F138" s="2" t="inlineStr">
        <is>
          <t>2026-08-08</t>
        </is>
      </c>
      <c r="G138" s="2" t="inlineStr">
        <is>
          <t>Received</t>
        </is>
      </c>
      <c r="H138" s="2" t="n"/>
    </row>
    <row r="139">
      <c r="A139" s="5" t="inlineStr">
        <is>
          <t>Horry County, SC</t>
        </is>
      </c>
      <c r="B139" s="6" t="inlineStr">
        <is>
          <t>(role not specified in confirmation)</t>
        </is>
      </c>
      <c r="C139" s="8" t="inlineStr">
        <is>
          <t>applied</t>
        </is>
      </c>
      <c r="D139" s="5" t="inlineStr">
        <is>
          <t>Email only (self-submitted, not tracked locally)</t>
        </is>
      </c>
      <c r="E139" s="5" t="inlineStr">
        <is>
          <t>2026-08-08</t>
        </is>
      </c>
      <c r="F139" s="5" t="inlineStr">
        <is>
          <t>2026-08-08</t>
        </is>
      </c>
      <c r="G139" s="5" t="inlineStr">
        <is>
          <t>Received</t>
        </is>
      </c>
      <c r="H139" s="5" t="n"/>
    </row>
    <row r="140" ht="27" customHeight="1">
      <c r="A140" s="2" t="inlineStr">
        <is>
          <t>PCG Systems</t>
        </is>
      </c>
      <c r="B140" s="3" t="inlineStr">
        <is>
          <t>Lead Infrastructure Engineer (Microsoft Cloud &amp; Cybersecurity)</t>
        </is>
      </c>
      <c r="C140" s="4" t="inlineStr">
        <is>
          <t>closed</t>
        </is>
      </c>
      <c r="D140" s="2" t="inlineStr">
        <is>
          <t>Local system (job-search automation)</t>
        </is>
      </c>
      <c r="E140" s="2" t="inlineStr">
        <is>
          <t>2026-08-24</t>
        </is>
      </c>
      <c r="F140" s="2" t="inlineStr">
        <is>
          <t>2026-07-20</t>
        </is>
      </c>
      <c r="G140" s="2" t="n"/>
      <c r="H140" s="2" t="inlineStr">
        <is>
          <t>2026-08-24_PCG-Systems_Lead-Infrastructure-Engineer\status.json</t>
        </is>
      </c>
    </row>
    <row r="141">
      <c r="A141" t="inlineStr">
        <is>
          <t>Tulane University</t>
        </is>
      </c>
      <c r="B141" t="inlineStr">
        <is>
          <t>AI Engineer III (1018)</t>
        </is>
      </c>
      <c r="C141" t="inlineStr">
        <is>
          <t>applied</t>
        </is>
      </c>
      <c r="D141" t="inlineStr">
        <is>
          <t>Local system (job-search automation)</t>
        </is>
      </c>
      <c r="E141" t="inlineStr">
        <is>
          <t>2026-09-04</t>
        </is>
      </c>
      <c r="F141" t="inlineStr">
        <is>
          <t>2026-09-05</t>
        </is>
      </c>
      <c r="H141" t="inlineStr">
        <is>
          <t>2026-09-04_Tulane-University_AI-Engineer-III\status.json</t>
        </is>
      </c>
    </row>
    <row r="142">
      <c r="A142" t="inlineStr">
        <is>
          <t>James Madison University</t>
        </is>
      </c>
      <c r="B142" t="inlineStr">
        <is>
          <t>IT Policy and Compliance Analyst</t>
        </is>
      </c>
      <c r="C142" t="inlineStr">
        <is>
          <t>applied</t>
        </is>
      </c>
      <c r="D142" t="inlineStr">
        <is>
          <t>Local system (job-search automation)</t>
        </is>
      </c>
      <c r="E142" t="inlineStr">
        <is>
          <t>2026-09-05</t>
        </is>
      </c>
      <c r="F142" t="inlineStr">
        <is>
          <t>2026-09-05</t>
        </is>
      </c>
      <c r="H142" t="inlineStr">
        <is>
          <t>2026-09-05_James-Madison-University_IT-Policy-and-Compliance-Analyst\status.json</t>
        </is>
      </c>
    </row>
    <row r="143">
      <c r="A143" t="inlineStr">
        <is>
          <t>Carnegie Mellon University</t>
        </is>
      </c>
      <c r="B143" t="inlineStr">
        <is>
          <t>Security Specialist - Pittsburgh Supercomputing Center (part-time)</t>
        </is>
      </c>
      <c r="C143" t="inlineStr">
        <is>
          <t>staged</t>
        </is>
      </c>
      <c r="D143" t="inlineStr">
        <is>
          <t>HigherEdJobs email digest</t>
        </is>
      </c>
      <c r="E143" t="inlineStr">
        <is>
          <t>2026-09-05</t>
        </is>
      </c>
      <c r="H143" t="inlineStr">
        <is>
          <t>2026-09-05_Carnegie-Mellon-University_Security-Specialist-PSC</t>
        </is>
      </c>
    </row>
    <row r="144">
      <c r="A144" t="inlineStr">
        <is>
          <t>CohnReznick</t>
        </is>
      </c>
      <c r="B144" t="inlineStr">
        <is>
          <t>IT Audit Assurance Manager</t>
        </is>
      </c>
      <c r="C144" t="inlineStr">
        <is>
          <t>applied</t>
        </is>
      </c>
      <c r="D144" t="inlineStr">
        <is>
          <t>LinkedIn</t>
        </is>
      </c>
      <c r="E144" t="inlineStr">
        <is>
          <t>2026-09-05</t>
        </is>
      </c>
      <c r="F144" t="inlineStr">
        <is>
          <t>2026-09-05</t>
        </is>
      </c>
      <c r="H144" t="inlineStr">
        <is>
          <t>2026-09-05_CohnReznick_IT-Audit-Assurance-Manager</t>
        </is>
      </c>
    </row>
    <row r="145">
      <c r="A145" t="inlineStr">
        <is>
          <t>American Express</t>
        </is>
      </c>
      <c r="B145" t="inlineStr">
        <is>
          <t>Manager - IT Audit, Data Governance</t>
        </is>
      </c>
      <c r="C145" t="inlineStr">
        <is>
          <t>closed</t>
        </is>
      </c>
      <c r="D145" t="inlineStr">
        <is>
          <t>LinkedIn (Oracle Cloud)</t>
        </is>
      </c>
      <c r="E145" t="inlineStr">
        <is>
          <t>2026-09-05</t>
        </is>
      </c>
      <c r="H145" t="inlineStr">
        <is>
          <t>2026-09-06_American-Express_Manager-IT-Audit-Data-Governance</t>
        </is>
      </c>
    </row>
    <row r="146">
      <c r="A146" t="inlineStr">
        <is>
          <t>M&amp;T Bank</t>
        </is>
      </c>
      <c r="B146" t="inlineStr">
        <is>
          <t>AI Governance Lead</t>
        </is>
      </c>
      <c r="C146" t="inlineStr">
        <is>
          <t>applied</t>
        </is>
      </c>
      <c r="D146" t="inlineStr">
        <is>
          <t>LinkedIn</t>
        </is>
      </c>
      <c r="E146" t="inlineStr">
        <is>
          <t>2026-09-05</t>
        </is>
      </c>
      <c r="F146" t="inlineStr">
        <is>
          <t>2026-09-05</t>
        </is>
      </c>
      <c r="G146" t="inlineStr">
        <is>
          <t>Received</t>
        </is>
      </c>
    </row>
    <row r="147">
      <c r="A147" t="inlineStr">
        <is>
          <t>Moraine Valley Community College</t>
        </is>
      </c>
      <c r="B147" t="inlineStr">
        <is>
          <t>Cybersecurity Engineer (IL)</t>
        </is>
      </c>
      <c r="C147" t="inlineStr">
        <is>
          <t>Applied (auto-submission via Simplify)</t>
        </is>
      </c>
      <c r="D147" t="inlineStr">
        <is>
          <t>HigherEdJobs</t>
        </is>
      </c>
      <c r="E147" t="inlineStr">
        <is>
          <t>2026-09-05</t>
        </is>
      </c>
      <c r="F147" t="inlineStr">
        <is>
          <t>2026-09-05</t>
        </is>
      </c>
      <c r="G147" t="inlineStr">
        <is>
          <t>Confirmation CN000150738, Posting AP00588P, status In Progress</t>
        </is>
      </c>
      <c r="H147" t="inlineStr">
        <is>
          <t>applications/2026-09-06_Moraine-Valley-Community-College_Cybersecurity-Engineer</t>
        </is>
      </c>
    </row>
    <row r="148">
      <c r="A148" t="inlineStr">
        <is>
          <t>Horry-Georgetown Technical College</t>
        </is>
      </c>
      <c r="B148" t="inlineStr">
        <is>
          <t>Desktop Support Supervisor I, Conway Campus</t>
        </is>
      </c>
      <c r="C148" t="inlineStr">
        <is>
          <t>Not pursuing</t>
        </is>
      </c>
      <c r="D148" t="inlineStr">
        <is>
          <t>HigherEdJobs</t>
        </is>
      </c>
      <c r="E148" t="inlineStr">
        <is>
          <t>2026-09-05</t>
        </is>
      </c>
    </row>
    <row r="149">
      <c r="A149" t="inlineStr">
        <is>
          <t>Horry-Georgetown Technical College</t>
        </is>
      </c>
      <c r="B149" t="inlineStr">
        <is>
          <t>Information Security Officer</t>
        </is>
      </c>
      <c r="C149" t="inlineStr">
        <is>
          <t>applied</t>
        </is>
      </c>
      <c r="D149" t="inlineStr">
        <is>
          <t>HigherEdJobs</t>
        </is>
      </c>
      <c r="E149" t="inlineStr">
        <is>
          <t>2026-09-05</t>
        </is>
      </c>
      <c r="F149" t="inlineStr">
        <is>
          <t>2026-09-05</t>
        </is>
      </c>
    </row>
    <row r="150">
      <c r="A150" t="inlineStr">
        <is>
          <t>Bryant University</t>
        </is>
      </c>
      <c r="B150" t="inlineStr">
        <is>
          <t>Director, Center for Applied Artificial Intelligence</t>
        </is>
      </c>
      <c r="C150" t="inlineStr">
        <is>
          <t>Applied</t>
        </is>
      </c>
      <c r="D150" t="inlineStr">
        <is>
          <t>HigherEdJobs</t>
        </is>
      </c>
      <c r="E150" t="inlineStr">
        <is>
          <t>2026-09-05</t>
        </is>
      </c>
      <c r="F150" t="inlineStr">
        <is>
          <t>2026-09-06</t>
        </is>
      </c>
      <c r="G150" t="inlineStr">
        <is>
          <t>Confirmation CN000098710, Posting STA02823, Under Review by Hiring Mgr./Committee</t>
        </is>
      </c>
      <c r="H150" t="inlineStr">
        <is>
          <t>applications/2026-09-06_Bryant-University_Director-Center-for-Applied-AI</t>
        </is>
      </c>
    </row>
    <row r="151">
      <c r="A151" t="inlineStr">
        <is>
          <t>Northeast Ohio Medical University (NEOMED)</t>
        </is>
      </c>
      <c r="B151" t="inlineStr">
        <is>
          <t>Director, AI Studio</t>
        </is>
      </c>
      <c r="C151" t="inlineStr">
        <is>
          <t>Not pursuing</t>
        </is>
      </c>
      <c r="D151" t="inlineStr">
        <is>
          <t>HigherEdJobs</t>
        </is>
      </c>
      <c r="E151" t="inlineStr">
        <is>
          <t>2026-09-05</t>
        </is>
      </c>
    </row>
    <row r="152">
      <c r="A152" t="inlineStr">
        <is>
          <t>Penn State University</t>
        </is>
      </c>
      <c r="B152" t="inlineStr">
        <is>
          <t>Senior Director of IT Service Strategy</t>
        </is>
      </c>
      <c r="C152" t="inlineStr">
        <is>
          <t>Not pursuing</t>
        </is>
      </c>
      <c r="D152" t="inlineStr">
        <is>
          <t>HigherEdJobs</t>
        </is>
      </c>
      <c r="E152" t="inlineStr">
        <is>
          <t>2026-09-05</t>
        </is>
      </c>
    </row>
    <row r="153">
      <c r="A153" t="inlineStr">
        <is>
          <t>Hewlett Packard Enterprise (HPE)</t>
        </is>
      </c>
      <c r="B153" t="inlineStr">
        <is>
          <t>Senior Cybersecurity Transformation Lead, Enterprise Programs</t>
        </is>
      </c>
      <c r="C153" t="inlineStr">
        <is>
          <t>closed</t>
        </is>
      </c>
      <c r="D153" t="inlineStr">
        <is>
          <t>LinkedIn/direct</t>
        </is>
      </c>
      <c r="E153" t="inlineStr">
        <is>
          <t>2026-09-05</t>
        </is>
      </c>
    </row>
    <row r="154">
      <c r="A154" t="inlineStr">
        <is>
          <t>Hewlett Packard Enterprise (HPE)</t>
        </is>
      </c>
      <c r="B154" t="inlineStr">
        <is>
          <t>Cybersecurity Operations Enablement</t>
        </is>
      </c>
      <c r="C154" t="inlineStr">
        <is>
          <t>closed</t>
        </is>
      </c>
      <c r="D154" t="inlineStr">
        <is>
          <t>LinkedIn/direct</t>
        </is>
      </c>
      <c r="E154" t="inlineStr">
        <is>
          <t>2026-09-05</t>
        </is>
      </c>
    </row>
    <row r="155">
      <c r="A155" t="inlineStr">
        <is>
          <t>City of Phoenix</t>
        </is>
      </c>
      <c r="B155" t="inlineStr">
        <is>
          <t>AI Product Manager (IT Project Manager) - Temporary Full-time</t>
        </is>
      </c>
      <c r="C155" t="inlineStr">
        <is>
          <t>Not Pursuing</t>
        </is>
      </c>
      <c r="D155" t="inlineStr">
        <is>
          <t>City of Phoenix careers site</t>
        </is>
      </c>
      <c r="E155" t="inlineStr">
        <is>
          <t>2026-09-05</t>
        </is>
      </c>
      <c r="H155" t="inlineStr">
        <is>
          <t>applications/2026-09-06_City-of-Phoenix_AI-Product-Manager</t>
        </is>
      </c>
    </row>
    <row r="156">
      <c r="A156" t="inlineStr">
        <is>
          <t>Appian</t>
        </is>
      </c>
      <c r="B156" t="inlineStr">
        <is>
          <t>Information Security Engineer Intern</t>
        </is>
      </c>
      <c r="C156" t="inlineStr">
        <is>
          <t>not_pursuing</t>
        </is>
      </c>
      <c r="D156" t="inlineStr">
        <is>
          <t>Handshake</t>
        </is>
      </c>
      <c r="E156" t="inlineStr">
        <is>
          <t>2026-09-05</t>
        </is>
      </c>
    </row>
    <row r="157">
      <c r="A157" t="inlineStr">
        <is>
          <t>Colorado Governor's Office of Information Technology</t>
        </is>
      </c>
      <c r="B157" t="inlineStr">
        <is>
          <t>Senior Compliance Engineer (Remote from CO)</t>
        </is>
      </c>
      <c r="C157" t="inlineStr">
        <is>
          <t>not_pursuing</t>
        </is>
      </c>
      <c r="D157" t="inlineStr">
        <is>
          <t>GovernmentJobs.com</t>
        </is>
      </c>
      <c r="E157" t="inlineStr">
        <is>
          <t>2026-09-05</t>
        </is>
      </c>
      <c r="H157" t="inlineStr">
        <is>
          <t>2026-09-05_Colorado-Governors-Office-of-Information-Technology_Senior-Compliance-Engineer/status.json</t>
        </is>
      </c>
    </row>
    <row r="158">
      <c r="A158" t="inlineStr">
        <is>
          <t>Commvault</t>
        </is>
      </c>
      <c r="B158" t="inlineStr">
        <is>
          <t>Manager, Customer Trust</t>
        </is>
      </c>
      <c r="C158" t="inlineStr">
        <is>
          <t>Applied</t>
        </is>
      </c>
      <c r="D158" t="inlineStr">
        <is>
          <t>direct/email</t>
        </is>
      </c>
      <c r="E158" t="inlineStr">
        <is>
          <t>2026-09-05</t>
        </is>
      </c>
      <c r="F158" t="inlineStr">
        <is>
          <t>2026-09-06</t>
        </is>
      </c>
      <c r="G158" t="inlineStr">
        <is>
          <t>Thank you for applying to Commvault! confirmation page</t>
        </is>
      </c>
      <c r="H158" t="inlineStr">
        <is>
          <t>applications/2026-09-06_Commvault_Manager-Customer-Trust</t>
        </is>
      </c>
    </row>
    <row r="159">
      <c r="A159" t="inlineStr">
        <is>
          <t>Research Foundation for SUNY / Binghamton University</t>
        </is>
      </c>
      <c r="B159" t="inlineStr">
        <is>
          <t>Assistant Director, Upward Bound</t>
        </is>
      </c>
      <c r="C159" t="inlineStr">
        <is>
          <t>not_pursuing</t>
        </is>
      </c>
      <c r="D159" t="inlineStr">
        <is>
          <t>HigherEdJobs</t>
        </is>
      </c>
      <c r="E159" t="inlineStr">
        <is>
          <t>2026-09-05</t>
        </is>
      </c>
    </row>
    <row r="160">
      <c r="A160" t="inlineStr">
        <is>
          <t>California State University, Fullerton</t>
        </is>
      </c>
      <c r="B160" t="inlineStr">
        <is>
          <t>Chief Information Security, Compliance and Risk Officer/CISO</t>
        </is>
      </c>
      <c r="C160" t="inlineStr">
        <is>
          <t>Not pursuing</t>
        </is>
      </c>
      <c r="D160" t="inlineStr">
        <is>
          <t>PageUp</t>
        </is>
      </c>
      <c r="E160" t="inlineStr">
        <is>
          <t>2026-09-05</t>
        </is>
      </c>
    </row>
    <row r="161">
      <c r="A161" t="inlineStr">
        <is>
          <t>North Carolina State University</t>
        </is>
      </c>
      <c r="B161" t="inlineStr">
        <is>
          <t>Director of Information Technology</t>
        </is>
      </c>
      <c r="C161" t="inlineStr">
        <is>
          <t>Not pursuing</t>
        </is>
      </c>
      <c r="D161" t="inlineStr">
        <is>
          <t>NCSU careers site</t>
        </is>
      </c>
      <c r="E161" t="inlineStr">
        <is>
          <t>2026-09-05</t>
        </is>
      </c>
    </row>
    <row r="162">
      <c r="A162" t="inlineStr">
        <is>
          <t>Clearwater</t>
        </is>
      </c>
      <c r="B162" t="inlineStr">
        <is>
          <t>Junior Cybersecurity Consultant (Early Careers)</t>
        </is>
      </c>
      <c r="C162" t="inlineStr">
        <is>
          <t>not_pursuing</t>
        </is>
      </c>
      <c r="D162" t="inlineStr">
        <is>
          <t>Handshake</t>
        </is>
      </c>
      <c r="E162" t="inlineStr">
        <is>
          <t>2026-09-05</t>
        </is>
      </c>
    </row>
    <row r="163">
      <c r="A163" t="inlineStr">
        <is>
          <t>Hamilton College</t>
        </is>
      </c>
      <c r="B163" t="inlineStr">
        <is>
          <t>Assistant Professor of Computer Science</t>
        </is>
      </c>
      <c r="C163" t="inlineStr">
        <is>
          <t>Applied (documents corrected from prior auto-submission)</t>
        </is>
      </c>
      <c r="D163" t="inlineStr">
        <is>
          <t>Interfolio</t>
        </is>
      </c>
      <c r="E163" t="inlineStr">
        <is>
          <t>2026-09-05</t>
        </is>
      </c>
      <c r="F163" t="inlineStr">
        <is>
          <t>2026-09-03</t>
        </is>
      </c>
      <c r="H163" t="inlineStr">
        <is>
          <t>applications/2026-09-06_Hamilton-College_Assistant-Professor-Computer-Science</t>
        </is>
      </c>
    </row>
    <row r="164">
      <c r="A164" t="inlineStr">
        <is>
          <t>Fiserv</t>
        </is>
      </c>
      <c r="B164" t="inlineStr">
        <is>
          <t>AI GRC Architect</t>
        </is>
      </c>
      <c r="C164" t="inlineStr">
        <is>
          <t>closed</t>
        </is>
      </c>
      <c r="D164" t="inlineStr">
        <is>
          <t>LinkedIn</t>
        </is>
      </c>
      <c r="E164" t="inlineStr">
        <is>
          <t>2026-09-05</t>
        </is>
      </c>
    </row>
    <row r="165">
      <c r="A165" t="inlineStr">
        <is>
          <t>Xtreme Solutions Corporate</t>
        </is>
      </c>
      <c r="B165" t="inlineStr">
        <is>
          <t>Lead Cyber Security Analysis SME</t>
        </is>
      </c>
      <c r="C165" t="inlineStr">
        <is>
          <t>Not pursuing (posting no longer found on LinkedIn)</t>
        </is>
      </c>
      <c r="D165" t="inlineStr">
        <is>
          <t>LinkedIn</t>
        </is>
      </c>
      <c r="E165" t="inlineStr">
        <is>
          <t>2026-09-05</t>
        </is>
      </c>
    </row>
    <row r="166">
      <c r="A166" t="inlineStr">
        <is>
          <t>Houston Community College System (HCCS)</t>
        </is>
      </c>
      <c r="B166" t="inlineStr">
        <is>
          <t>Coordinator, IT Asset Support Services (District)</t>
        </is>
      </c>
      <c r="C166" t="inlineStr">
        <is>
          <t>Not pursuing</t>
        </is>
      </c>
      <c r="D166" t="inlineStr">
        <is>
          <t>Taleo/direct</t>
        </is>
      </c>
      <c r="E166" t="inlineStr">
        <is>
          <t>2026-09-05</t>
        </is>
      </c>
    </row>
    <row r="167">
      <c r="A167" t="inlineStr">
        <is>
          <t>Workiva</t>
        </is>
      </c>
      <c r="B167" t="inlineStr">
        <is>
          <t>Senior Solution Sales Executive - GRC (Western Canada)</t>
        </is>
      </c>
      <c r="C167" t="inlineStr">
        <is>
          <t>Applied (auto-submission via Simplify)</t>
        </is>
      </c>
      <c r="D167" t="inlineStr">
        <is>
          <t>Handshake</t>
        </is>
      </c>
      <c r="E167" t="inlineStr">
        <is>
          <t>2026-09-05</t>
        </is>
      </c>
      <c r="F167" t="inlineStr">
        <is>
          <t>2026-09-03</t>
        </is>
      </c>
      <c r="G167" t="inlineStr">
        <is>
          <t>Poor fit (sales role, Western Canada) - discovered via Workday Candidate Home</t>
        </is>
      </c>
      <c r="H167" t="inlineStr">
        <is>
          <t>applications/2026-09-06_Workiva_Senior-Solution-Sales-Executive-GRC-Western-Canada-discovered</t>
        </is>
      </c>
    </row>
    <row r="168">
      <c r="A168" t="inlineStr">
        <is>
          <t>Workiva</t>
        </is>
      </c>
      <c r="B168" t="inlineStr">
        <is>
          <t>Senior Technical Program Manager, GRC</t>
        </is>
      </c>
      <c r="C168" t="inlineStr">
        <is>
          <t>Applied (auto-submission via Simplify)</t>
        </is>
      </c>
      <c r="D168" t="inlineStr">
        <is>
          <t>direct</t>
        </is>
      </c>
      <c r="E168" t="inlineStr">
        <is>
          <t>2026-09-05</t>
        </is>
      </c>
      <c r="F168" t="inlineStr">
        <is>
          <t>2026-09-03</t>
        </is>
      </c>
      <c r="G168" t="inlineStr">
        <is>
          <t>Discovered via Workday Candidate Home: already applied 9/3/2026 via Simplify</t>
        </is>
      </c>
      <c r="H168" t="inlineStr">
        <is>
          <t>applications/2026-09-06_Workiva_Senior-Technical-Program-Manager-GRC</t>
        </is>
      </c>
    </row>
    <row r="169">
      <c r="A169" t="inlineStr">
        <is>
          <t>Procter &amp; Gamble (P&amp;G)</t>
        </is>
      </c>
      <c r="B169" t="inlineStr">
        <is>
          <t>IT Security (2027 Grads)</t>
        </is>
      </c>
      <c r="C169" t="inlineStr">
        <is>
          <t>not_pursuing</t>
        </is>
      </c>
      <c r="D169" t="inlineStr">
        <is>
          <t>Handshake</t>
        </is>
      </c>
      <c r="E169" t="inlineStr">
        <is>
          <t>2026-09-05</t>
        </is>
      </c>
    </row>
    <row r="170">
      <c r="A170" t="inlineStr">
        <is>
          <t>Google</t>
        </is>
      </c>
      <c r="B170" t="inlineStr">
        <is>
          <t>Security Engineer, Detection</t>
        </is>
      </c>
      <c r="C170" t="inlineStr">
        <is>
          <t>applied</t>
        </is>
      </c>
      <c r="D170" t="inlineStr">
        <is>
          <t>Handshake</t>
        </is>
      </c>
      <c r="E170" t="inlineStr">
        <is>
          <t>2026-09-05</t>
        </is>
      </c>
      <c r="F170" t="inlineStr">
        <is>
          <t>2026-09-03</t>
        </is>
      </c>
    </row>
    <row r="171">
      <c r="A171" t="inlineStr">
        <is>
          <t>Bank of America</t>
        </is>
      </c>
      <c r="B171" t="inlineStr">
        <is>
          <t>Information Security Officer - Global Banking &amp; Markets (GBAM)</t>
        </is>
      </c>
      <c r="C171" t="inlineStr">
        <is>
          <t>Applied (auto-submission via Simplify)</t>
        </is>
      </c>
      <c r="D171" t="inlineStr">
        <is>
          <t>direct</t>
        </is>
      </c>
      <c r="E171" t="inlineStr">
        <is>
          <t>2026-09-05</t>
        </is>
      </c>
      <c r="F171" t="inlineStr">
        <is>
          <t>2026-09-06</t>
        </is>
      </c>
      <c r="G171" t="inlineStr">
        <is>
          <t>LinkedIn job tracker status: Clicked Apply (posting appears under 'Global Technology' sub-brand on LinkedIn); location: Washington, DC</t>
        </is>
      </c>
    </row>
    <row r="172">
      <c r="A172" t="inlineStr">
        <is>
          <t>Harris Computer (ClearDATA)</t>
        </is>
      </c>
      <c r="B172" t="inlineStr">
        <is>
          <t>Senior GRC Manager</t>
        </is>
      </c>
      <c r="C172" t="inlineStr">
        <is>
          <t>applied</t>
        </is>
      </c>
      <c r="D172" t="inlineStr">
        <is>
          <t>LinkedIn</t>
        </is>
      </c>
      <c r="E172" t="inlineStr">
        <is>
          <t>2026-09-05</t>
        </is>
      </c>
      <c r="F172" t="inlineStr">
        <is>
          <t>2026-09-03</t>
        </is>
      </c>
    </row>
    <row r="173">
      <c r="A173" t="inlineStr">
        <is>
          <t>Weaver</t>
        </is>
      </c>
      <c r="B173" t="inlineStr">
        <is>
          <t>Governance, Risk, and Compliance Manager (IT)</t>
        </is>
      </c>
      <c r="C173" t="inlineStr">
        <is>
          <t>Applied (auto-submission via Simplify)</t>
        </is>
      </c>
      <c r="D173" t="inlineStr">
        <is>
          <t>LinkedIn</t>
        </is>
      </c>
      <c r="E173" t="inlineStr">
        <is>
          <t>2026-09-05</t>
        </is>
      </c>
      <c r="F173" t="inlineStr">
        <is>
          <t>2026-09-06</t>
        </is>
      </c>
      <c r="G173" t="inlineStr">
        <is>
          <t>LinkedIn job tracker status: Clicked Apply; location: Houston, TX (Hybrid); role title recovered from LinkedIn (original Ultipro portal read failed)</t>
        </is>
      </c>
    </row>
    <row r="174">
      <c r="A174" t="inlineStr">
        <is>
          <t>Amgen</t>
        </is>
      </c>
      <c r="B174" t="inlineStr">
        <is>
          <t>Responsible AI Manager - Agentic AI Governance</t>
        </is>
      </c>
      <c r="C174" t="inlineStr">
        <is>
          <t>applied</t>
        </is>
      </c>
      <c r="D174" t="inlineStr">
        <is>
          <t>LinkedIn</t>
        </is>
      </c>
      <c r="E174" t="inlineStr">
        <is>
          <t>2026-09-05</t>
        </is>
      </c>
      <c r="F174" t="inlineStr">
        <is>
          <t>2026-09-04</t>
        </is>
      </c>
      <c r="G174" t="inlineStr">
        <is>
          <t>Applied via Simplify</t>
        </is>
      </c>
    </row>
    <row r="175">
      <c r="A175" t="inlineStr">
        <is>
          <t>Amgen</t>
        </is>
      </c>
      <c r="B175" t="inlineStr">
        <is>
          <t>Associate Director - Information Systems (Clinical Data Hub)</t>
        </is>
      </c>
      <c r="C175" t="inlineStr">
        <is>
          <t>Not pursuing</t>
        </is>
      </c>
      <c r="D175" t="inlineStr">
        <is>
          <t>LinkedIn</t>
        </is>
      </c>
      <c r="E175" t="inlineStr">
        <is>
          <t>2026-09-05</t>
        </is>
      </c>
    </row>
    <row r="176">
      <c r="A176" t="inlineStr">
        <is>
          <t>Vinson &amp; Elkins</t>
        </is>
      </c>
      <c r="B176" t="inlineStr">
        <is>
          <t>Information Security Application and Compliance Analyst</t>
        </is>
      </c>
      <c r="C176" t="inlineStr">
        <is>
          <t>Applied (auto-submission via Simplify)</t>
        </is>
      </c>
      <c r="D176" t="inlineStr">
        <is>
          <t>direct</t>
        </is>
      </c>
      <c r="E176" t="inlineStr">
        <is>
          <t>2026-09-05</t>
        </is>
      </c>
      <c r="F176" t="inlineStr">
        <is>
          <t>2026-09-06</t>
        </is>
      </c>
      <c r="G176" t="inlineStr">
        <is>
          <t>LinkedIn job tracker status: Clicked Apply; location: Dallas, TX (Hybrid); role title recovered from LinkedIn (original portal read failed)</t>
        </is>
      </c>
    </row>
    <row r="177">
      <c r="A177" t="inlineStr">
        <is>
          <t>Freddie Mac</t>
        </is>
      </c>
      <c r="B177" t="inlineStr">
        <is>
          <t>Information and AI Risk Governance Lead (JR17572)</t>
        </is>
      </c>
      <c r="C177" t="inlineStr">
        <is>
          <t>applied_unverified</t>
        </is>
      </c>
      <c r="D177" t="inlineStr">
        <is>
          <t>LinkedIn (Oracle Cloud)</t>
        </is>
      </c>
      <c r="F177" t="inlineStr">
        <is>
          <t>2026-09-05</t>
        </is>
      </c>
      <c r="G177" t="inlineStr">
        <is>
          <t>offline-success confirmation page reached</t>
        </is>
      </c>
    </row>
    <row r="178">
      <c r="A178" t="inlineStr">
        <is>
          <t>AF Group (Accident Fund Insurance Company of America)</t>
        </is>
      </c>
      <c r="B178" t="inlineStr">
        <is>
          <t>Manager, Data Governance and Analytics</t>
        </is>
      </c>
      <c r="C178" t="inlineStr">
        <is>
          <t>closed</t>
        </is>
      </c>
      <c r="D178" t="inlineStr">
        <is>
          <t>LinkedIn (Oracle Cloud)</t>
        </is>
      </c>
      <c r="E178" t="inlineStr">
        <is>
          <t>2026-09-05</t>
        </is>
      </c>
      <c r="H178" t="inlineStr">
        <is>
          <t>2026-09-06_AF-Group_Manager-Data-Governance-Analytics</t>
        </is>
      </c>
    </row>
    <row r="179">
      <c r="A179" t="inlineStr">
        <is>
          <t>Guidehouse</t>
        </is>
      </c>
      <c r="B179" t="inlineStr">
        <is>
          <t>Cybersecurity Risk - Managing Consultant</t>
        </is>
      </c>
      <c r="C179" t="inlineStr">
        <is>
          <t>not_pursuing</t>
        </is>
      </c>
      <c r="D179" t="inlineStr">
        <is>
          <t>LinkedIn</t>
        </is>
      </c>
      <c r="E179" t="inlineStr">
        <is>
          <t>2026-09-05</t>
        </is>
      </c>
      <c r="H179" t="inlineStr">
        <is>
          <t>2026-09-05_Guidehouse_Cybersecurity-Risk-Managing-Consultant</t>
        </is>
      </c>
    </row>
    <row r="180">
      <c r="A180" t="inlineStr">
        <is>
          <t>Capital One</t>
        </is>
      </c>
      <c r="B180" t="inlineStr">
        <is>
          <t>Manager, Cyber Risk &amp; Analysis (Retail Bank Technology Modernization Program)</t>
        </is>
      </c>
      <c r="C180" t="inlineStr">
        <is>
          <t>Applied (auto-submission via Simplify)</t>
        </is>
      </c>
      <c r="D180" t="inlineStr">
        <is>
          <t>LinkedIn</t>
        </is>
      </c>
      <c r="E180" t="inlineStr">
        <is>
          <t>2026-09-05</t>
        </is>
      </c>
      <c r="F180" t="inlineStr">
        <is>
          <t>2026-09-04</t>
        </is>
      </c>
      <c r="G180" t="inlineStr">
        <is>
          <t>Discovered via Capital One Candidate Home; Req R248661</t>
        </is>
      </c>
      <c r="H180" t="inlineStr">
        <is>
          <t>applications/2026-09-06_Capital-One_Manager-Cyber-Risk-Analysis-Retail-Bank-discovered</t>
        </is>
      </c>
    </row>
    <row r="181">
      <c r="A181" t="inlineStr">
        <is>
          <t>LPL Financial</t>
        </is>
      </c>
      <c r="B181" t="inlineStr">
        <is>
          <t>AVP, AI Risk and Governance</t>
        </is>
      </c>
      <c r="C181" t="inlineStr">
        <is>
          <t>Not pursuing</t>
        </is>
      </c>
      <c r="D181" t="inlineStr">
        <is>
          <t>LinkedIn</t>
        </is>
      </c>
      <c r="E181" t="inlineStr">
        <is>
          <t>2026-09-05</t>
        </is>
      </c>
    </row>
    <row r="182">
      <c r="A182" t="inlineStr">
        <is>
          <t>SMBC (Sumitomo Mitsui Banking Corporation)</t>
        </is>
      </c>
      <c r="B182" t="inlineStr">
        <is>
          <t>2027 Summer Intern Program - Information Security</t>
        </is>
      </c>
      <c r="C182" t="inlineStr">
        <is>
          <t>not_pursuing</t>
        </is>
      </c>
      <c r="D182" t="inlineStr">
        <is>
          <t>Handshake</t>
        </is>
      </c>
      <c r="E182" t="inlineStr">
        <is>
          <t>2026-09-05</t>
        </is>
      </c>
    </row>
    <row r="183">
      <c r="A183" t="inlineStr">
        <is>
          <t>Desert Oasis Healthcare (DOHC)</t>
        </is>
      </c>
      <c r="B183" t="inlineStr">
        <is>
          <t>IT Infrastructure Manager</t>
        </is>
      </c>
      <c r="C183" t="inlineStr">
        <is>
          <t>Not Pursuing</t>
        </is>
      </c>
      <c r="D183" t="inlineStr">
        <is>
          <t>Handshake</t>
        </is>
      </c>
      <c r="E183" t="inlineStr">
        <is>
          <t>2026-09-05</t>
        </is>
      </c>
      <c r="G183" t="inlineStr">
        <is>
          <t>Requires CalJOBS government account to apply - user opted to skip rather than create it</t>
        </is>
      </c>
      <c r="H183" t="inlineStr">
        <is>
          <t>applications/2026-09-06_Desert-Oasis-Healthcare_IT-Infrastructure-Manager</t>
        </is>
      </c>
    </row>
    <row r="184">
      <c r="A184" t="inlineStr">
        <is>
          <t>Brandeis University</t>
        </is>
      </c>
      <c r="B184" t="inlineStr">
        <is>
          <t>Senior Customer Service &amp; Systems Administrator</t>
        </is>
      </c>
      <c r="C184" t="inlineStr">
        <is>
          <t>not_pursuing</t>
        </is>
      </c>
      <c r="D184" t="inlineStr">
        <is>
          <t>HigherEdJobs</t>
        </is>
      </c>
      <c r="E184" t="inlineStr">
        <is>
          <t>2026-09-05</t>
        </is>
      </c>
      <c r="H184" t="inlineStr">
        <is>
          <t>2026-09-05_Brandeis-University_Senior-Customer-Service-Systems-Administrator</t>
        </is>
      </c>
    </row>
    <row r="185">
      <c r="A185" t="inlineStr">
        <is>
          <t>New York University (NYU)</t>
        </is>
      </c>
      <c r="B185" t="inlineStr">
        <is>
          <t>IT Administrator (Tisch Film Center Production)</t>
        </is>
      </c>
      <c r="C185" t="inlineStr">
        <is>
          <t>not_pursuing</t>
        </is>
      </c>
      <c r="D185" t="inlineStr">
        <is>
          <t>HigherEdJobs</t>
        </is>
      </c>
      <c r="E185" t="inlineStr">
        <is>
          <t>2026-09-05</t>
        </is>
      </c>
    </row>
    <row r="186">
      <c r="A186" t="inlineStr">
        <is>
          <t>Emory University</t>
        </is>
      </c>
      <c r="B186" t="inlineStr">
        <is>
          <t>Project Manager I - Information Technology (Construction)</t>
        </is>
      </c>
      <c r="C186" t="inlineStr">
        <is>
          <t>Applied</t>
        </is>
      </c>
      <c r="D186" t="inlineStr">
        <is>
          <t>HigherEdJobs</t>
        </is>
      </c>
      <c r="E186" t="inlineStr">
        <is>
          <t>2026-09-05</t>
        </is>
      </c>
      <c r="F186" t="inlineStr">
        <is>
          <t>2026-09-06</t>
        </is>
      </c>
      <c r="G186" t="inlineStr">
        <is>
          <t>Submitted confirmation shown on job page (no separate email confirmation observed yet)</t>
        </is>
      </c>
      <c r="H186" t="inlineStr">
        <is>
          <t>applications/2026-09-06_Emory-University_Project-Manager-I-IT-Construction</t>
        </is>
      </c>
    </row>
    <row r="187">
      <c r="A187" t="inlineStr">
        <is>
          <t>Western Governors University (WGU)</t>
        </is>
      </c>
      <c r="B187" t="inlineStr">
        <is>
          <t>Senior Manager, Information Security</t>
        </is>
      </c>
      <c r="C187" t="inlineStr">
        <is>
          <t>Not pursuing (WGU deprioritized - no responses to date)</t>
        </is>
      </c>
      <c r="D187" t="inlineStr">
        <is>
          <t>HigherEdJobs</t>
        </is>
      </c>
      <c r="E187" t="inlineStr">
        <is>
          <t>2026-09-05</t>
        </is>
      </c>
    </row>
    <row r="188">
      <c r="A188" t="inlineStr">
        <is>
          <t>Princeton University</t>
        </is>
      </c>
      <c r="B188" t="inlineStr">
        <is>
          <t>Assistant Director, Information Technology</t>
        </is>
      </c>
      <c r="C188" t="inlineStr">
        <is>
          <t>Not pursuing</t>
        </is>
      </c>
      <c r="D188" t="inlineStr">
        <is>
          <t>HigherEdJobs</t>
        </is>
      </c>
      <c r="E188" t="inlineStr">
        <is>
          <t>2026-09-05</t>
        </is>
      </c>
    </row>
    <row r="189">
      <c r="A189" t="inlineStr">
        <is>
          <t>University of Texas at Dallas (UT Dallas)</t>
        </is>
      </c>
      <c r="B189" t="inlineStr">
        <is>
          <t>Network Engineer I</t>
        </is>
      </c>
      <c r="C189" t="inlineStr">
        <is>
          <t>found</t>
        </is>
      </c>
      <c r="D189" t="inlineStr">
        <is>
          <t>UT Dallas careers site</t>
        </is>
      </c>
      <c r="E189" t="inlineStr">
        <is>
          <t>2026-09-05</t>
        </is>
      </c>
    </row>
    <row r="190">
      <c r="A190" t="inlineStr">
        <is>
          <t>University of Pennsylvania</t>
        </is>
      </c>
      <c r="B190" t="inlineStr">
        <is>
          <t>Information Technology Manager (Recreation &amp; Intercollegiate Athletics)</t>
        </is>
      </c>
      <c r="C190" t="inlineStr">
        <is>
          <t>found</t>
        </is>
      </c>
      <c r="D190" t="inlineStr">
        <is>
          <t>direct</t>
        </is>
      </c>
      <c r="E190" t="inlineStr">
        <is>
          <t>2026-09-05</t>
        </is>
      </c>
    </row>
    <row r="191">
      <c r="A191" t="inlineStr">
        <is>
          <t>Assumption University</t>
        </is>
      </c>
      <c r="B191" t="inlineStr">
        <is>
          <t>Data Enterprise Applications Analyst</t>
        </is>
      </c>
      <c r="C191" t="inlineStr">
        <is>
          <t>found</t>
        </is>
      </c>
      <c r="D191" t="inlineStr">
        <is>
          <t>Paylocity/direct</t>
        </is>
      </c>
      <c r="E191" t="inlineStr">
        <is>
          <t>2026-09-05</t>
        </is>
      </c>
    </row>
    <row r="192">
      <c r="A192" t="inlineStr">
        <is>
          <t>Houston Community College System (HCCS)</t>
        </is>
      </c>
      <c r="B192" t="inlineStr">
        <is>
          <t>Manager, AI Applications Integration</t>
        </is>
      </c>
      <c r="C192" t="inlineStr">
        <is>
          <t>found</t>
        </is>
      </c>
      <c r="D192" t="inlineStr">
        <is>
          <t>direct</t>
        </is>
      </c>
      <c r="E192" t="inlineStr">
        <is>
          <t>2026-09-05</t>
        </is>
      </c>
    </row>
    <row r="193">
      <c r="A193" t="inlineStr">
        <is>
          <t>Unity Environmental University</t>
        </is>
      </c>
      <c r="B193" t="inlineStr">
        <is>
          <t>Director of Information Systems</t>
        </is>
      </c>
      <c r="C193" t="inlineStr">
        <is>
          <t>found</t>
        </is>
      </c>
      <c r="D193" t="inlineStr">
        <is>
          <t>Paycom/direct</t>
        </is>
      </c>
      <c r="E193" t="inlineStr">
        <is>
          <t>2026-09-05</t>
        </is>
      </c>
    </row>
    <row r="194">
      <c r="A194" t="inlineStr">
        <is>
          <t>Northwestern Michigan College (NMC)</t>
        </is>
      </c>
      <c r="B194" t="inlineStr">
        <is>
          <t>Executive Director of Information Technologies</t>
        </is>
      </c>
      <c r="C194" t="inlineStr">
        <is>
          <t>found</t>
        </is>
      </c>
      <c r="D194" t="inlineStr">
        <is>
          <t>HigherEdJobs</t>
        </is>
      </c>
      <c r="E194" t="inlineStr">
        <is>
          <t>2026-09-05</t>
        </is>
      </c>
    </row>
    <row r="195">
      <c r="A195" t="inlineStr">
        <is>
          <t>Bank of America</t>
        </is>
      </c>
      <c r="B195" t="inlineStr">
        <is>
          <t>Global Technology Summer Analyst 2027 - Cybersecurity Analyst</t>
        </is>
      </c>
      <c r="C195" t="inlineStr">
        <is>
          <t>not_pursuing</t>
        </is>
      </c>
      <c r="D195" t="inlineStr">
        <is>
          <t>Handshake</t>
        </is>
      </c>
      <c r="E195" t="inlineStr">
        <is>
          <t>2026-09-05</t>
        </is>
      </c>
    </row>
    <row r="196">
      <c r="A196" t="inlineStr">
        <is>
          <t>ONEOK</t>
        </is>
      </c>
      <c r="B196" t="inlineStr">
        <is>
          <t>Cyber Security Intern (Tulsa, OK)</t>
        </is>
      </c>
      <c r="C196" t="inlineStr">
        <is>
          <t>not_pursuing</t>
        </is>
      </c>
      <c r="D196" t="inlineStr">
        <is>
          <t>Handshake</t>
        </is>
      </c>
      <c r="E196" t="inlineStr">
        <is>
          <t>2026-09-05</t>
        </is>
      </c>
    </row>
    <row r="197">
      <c r="A197" t="inlineStr">
        <is>
          <t>Appian</t>
        </is>
      </c>
      <c r="B197" t="inlineStr">
        <is>
          <t>Information Security Engineer (2027 Graduate)</t>
        </is>
      </c>
      <c r="C197" t="inlineStr">
        <is>
          <t>not_pursuing</t>
        </is>
      </c>
      <c r="D197" t="inlineStr">
        <is>
          <t>Handshake</t>
        </is>
      </c>
      <c r="E197" t="inlineStr">
        <is>
          <t>2026-09-05</t>
        </is>
      </c>
    </row>
    <row r="198">
      <c r="A198" t="inlineStr">
        <is>
          <t>Procter &amp; Gamble (P&amp;G)</t>
        </is>
      </c>
      <c r="B198" t="inlineStr">
        <is>
          <t>IT Security Internship (Summer 2027)</t>
        </is>
      </c>
      <c r="C198" t="inlineStr">
        <is>
          <t>not_pursuing</t>
        </is>
      </c>
      <c r="D198" t="inlineStr">
        <is>
          <t>Handshake</t>
        </is>
      </c>
      <c r="E198" t="inlineStr">
        <is>
          <t>2026-09-05</t>
        </is>
      </c>
    </row>
    <row r="199">
      <c r="A199" t="inlineStr">
        <is>
          <t>Procter &amp; Gamble (P&amp;G)</t>
        </is>
      </c>
      <c r="B199" t="inlineStr">
        <is>
          <t>Vice President, Information Security - Identity, Governance, and Cyber Risk</t>
        </is>
      </c>
      <c r="C199" t="inlineStr">
        <is>
          <t>found</t>
        </is>
      </c>
      <c r="D199" t="inlineStr">
        <is>
          <t>direct</t>
        </is>
      </c>
      <c r="E199" t="inlineStr">
        <is>
          <t>2026-09-05</t>
        </is>
      </c>
    </row>
    <row r="200">
      <c r="A200" t="inlineStr">
        <is>
          <t>State of Connecticut (DAS - Bureau of IT Solutions)</t>
        </is>
      </c>
      <c r="B200" t="inlineStr">
        <is>
          <t>Information Technology Analyst 1</t>
        </is>
      </c>
      <c r="C200" t="inlineStr">
        <is>
          <t>closed</t>
        </is>
      </c>
      <c r="D200" t="inlineStr">
        <is>
          <t>Handshake</t>
        </is>
      </c>
      <c r="E200" t="inlineStr">
        <is>
          <t>2026-09-05</t>
        </is>
      </c>
      <c r="H200" t="inlineStr">
        <is>
          <t>2026-09-05_State-of-Connecticut-DAS_Information-Technology-Analyst-1</t>
        </is>
      </c>
    </row>
    <row r="201">
      <c r="A201" t="inlineStr">
        <is>
          <t>Santa Clara University</t>
        </is>
      </c>
      <c r="B201" t="inlineStr">
        <is>
          <t>Security Operations Analyst</t>
        </is>
      </c>
      <c r="C201" t="inlineStr">
        <is>
          <t>Not pursuing (over-applied)</t>
        </is>
      </c>
      <c r="D201" t="inlineStr">
        <is>
          <t>Handshake</t>
        </is>
      </c>
      <c r="E201" t="inlineStr">
        <is>
          <t>2026-09-05</t>
        </is>
      </c>
      <c r="H201" t="inlineStr">
        <is>
          <t>applications/2026-09-06_Santa-Clara-University_Security-Operations-Analyst</t>
        </is>
      </c>
    </row>
    <row r="202">
      <c r="A202" t="inlineStr">
        <is>
          <t>Rilla</t>
        </is>
      </c>
      <c r="B202" t="inlineStr">
        <is>
          <t>Founding Compliance &amp; IT Ops</t>
        </is>
      </c>
      <c r="C202" t="inlineStr">
        <is>
          <t>applied</t>
        </is>
      </c>
      <c r="D202" t="inlineStr">
        <is>
          <t>direct</t>
        </is>
      </c>
      <c r="E202" t="inlineStr">
        <is>
          <t>2026-09-05</t>
        </is>
      </c>
      <c r="F202" t="inlineStr">
        <is>
          <t>2026-09-05</t>
        </is>
      </c>
      <c r="H202" t="inlineStr">
        <is>
          <t>applications/2026-09-05_Rilla_Founding-Compliance-IT-Ops</t>
        </is>
      </c>
    </row>
    <row r="203">
      <c r="A203" t="inlineStr">
        <is>
          <t>Vanguard</t>
        </is>
      </c>
      <c r="B203" t="inlineStr">
        <is>
          <t>Technology Leadership Program - Risk &amp; Security (Engineering)</t>
        </is>
      </c>
      <c r="C203" t="inlineStr">
        <is>
          <t>found</t>
        </is>
      </c>
      <c r="D203" t="inlineStr">
        <is>
          <t>Corporate Website</t>
        </is>
      </c>
      <c r="E203" t="inlineStr">
        <is>
          <t>2026-09-05</t>
        </is>
      </c>
    </row>
    <row r="204">
      <c r="A204" t="inlineStr">
        <is>
          <t>HackerEarth</t>
        </is>
      </c>
      <c r="B204" t="inlineStr">
        <is>
          <t>AI Engineer (Remote)</t>
        </is>
      </c>
      <c r="C204" t="inlineStr">
        <is>
          <t>found</t>
        </is>
      </c>
      <c r="D204" t="inlineStr">
        <is>
          <t>Indeed</t>
        </is>
      </c>
      <c r="E204" t="inlineStr">
        <is>
          <t>2026-09-05</t>
        </is>
      </c>
    </row>
    <row r="205">
      <c r="A205" t="inlineStr">
        <is>
          <t>M&amp;T Bank</t>
        </is>
      </c>
      <c r="B205" t="inlineStr">
        <is>
          <t>AI Governance Lead</t>
        </is>
      </c>
      <c r="C205" t="inlineStr">
        <is>
          <t>applied</t>
        </is>
      </c>
      <c r="D205" t="inlineStr">
        <is>
          <t>LinkedIn</t>
        </is>
      </c>
      <c r="E205" t="inlineStr">
        <is>
          <t>2026-09-05</t>
        </is>
      </c>
      <c r="F205" t="inlineStr">
        <is>
          <t>2026-09-05</t>
        </is>
      </c>
      <c r="G205" t="inlineStr">
        <is>
          <t>Received</t>
        </is>
      </c>
      <c r="H205" t="inlineStr">
        <is>
          <t>2026-09-05_MT-Bank_AI-Governance-Lead</t>
        </is>
      </c>
    </row>
    <row r="206">
      <c r="A206" t="inlineStr">
        <is>
          <t>Horry-Georgetown Technical College</t>
        </is>
      </c>
      <c r="B206" t="inlineStr">
        <is>
          <t>Information Security Officer</t>
        </is>
      </c>
      <c r="C206" t="inlineStr">
        <is>
          <t>applied</t>
        </is>
      </c>
      <c r="D206" t="inlineStr">
        <is>
          <t>HigherEdJobs</t>
        </is>
      </c>
      <c r="E206" t="inlineStr">
        <is>
          <t>2026-09-05</t>
        </is>
      </c>
      <c r="F206" t="inlineStr">
        <is>
          <t>2026-09-05</t>
        </is>
      </c>
      <c r="H206" t="inlineStr">
        <is>
          <t>2026-09-05_Horry-Georgetown-Technical-College_Information-Security-Officer\status.json</t>
        </is>
      </c>
    </row>
    <row r="207">
      <c r="A207" t="inlineStr">
        <is>
          <t>Santa Clara University</t>
        </is>
      </c>
      <c r="B207" t="inlineStr">
        <is>
          <t>Security Operations Analyst</t>
        </is>
      </c>
      <c r="C207" t="inlineStr">
        <is>
          <t>Applied (auto-submission via Simplify)</t>
        </is>
      </c>
      <c r="D207" t="inlineStr">
        <is>
          <t>LinkedIn</t>
        </is>
      </c>
      <c r="E207" t="inlineStr">
        <is>
          <t>2026-09-05</t>
        </is>
      </c>
      <c r="F207" t="inlineStr">
        <is>
          <t>2026-09-05</t>
        </is>
      </c>
      <c r="G207" t="inlineStr">
        <is>
          <t>In Process</t>
        </is>
      </c>
    </row>
    <row r="208">
      <c r="A208" t="inlineStr">
        <is>
          <t>University of Wisconsin - Madison</t>
        </is>
      </c>
      <c r="B208" t="inlineStr">
        <is>
          <t>Cybersecurity Analyst (Information Security Analyst II) - CALS</t>
        </is>
      </c>
      <c r="C208" t="inlineStr">
        <is>
          <t>applied</t>
        </is>
      </c>
      <c r="D208" t="inlineStr">
        <is>
          <t>unattended auto-submission (discovered)</t>
        </is>
      </c>
      <c r="E208" t="inlineStr">
        <is>
          <t>2026-09-05</t>
        </is>
      </c>
      <c r="F208" t="inlineStr">
        <is>
          <t>2026-09-05</t>
        </is>
      </c>
      <c r="H208" t="inlineStr">
        <is>
          <t>2026-09-05_University-of-Wisconsin-Madison_Cybersecurity-Analyst-CALS/status.json</t>
        </is>
      </c>
    </row>
    <row r="209">
      <c r="A209" t="inlineStr">
        <is>
          <t>Right To Bear Association</t>
        </is>
      </c>
      <c r="B209" t="inlineStr">
        <is>
          <t>Data Analyst &amp; IT Project Manager</t>
        </is>
      </c>
      <c r="C209" t="inlineStr">
        <is>
          <t>applied</t>
        </is>
      </c>
      <c r="D209" t="inlineStr">
        <is>
          <t>Handshake (auto-submission, reconciled 2026-09-05)</t>
        </is>
      </c>
      <c r="E209" t="inlineStr">
        <is>
          <t>2026-09-05</t>
        </is>
      </c>
      <c r="F209" t="inlineStr">
        <is>
          <t>2026-09-05</t>
        </is>
      </c>
    </row>
    <row r="210">
      <c r="A210" t="inlineStr">
        <is>
          <t>Anytime Fitness</t>
        </is>
      </c>
      <c r="B210" t="inlineStr">
        <is>
          <t>IT Help Desk Associate</t>
        </is>
      </c>
      <c r="C210" t="inlineStr">
        <is>
          <t>applied</t>
        </is>
      </c>
      <c r="D210" t="inlineStr">
        <is>
          <t>Handshake (auto-submission, reconciled 2026-09-05)</t>
        </is>
      </c>
      <c r="E210" t="inlineStr">
        <is>
          <t>2026-09-05</t>
        </is>
      </c>
      <c r="F210" t="inlineStr">
        <is>
          <t>2026-09-05</t>
        </is>
      </c>
    </row>
    <row r="211">
      <c r="A211" t="inlineStr">
        <is>
          <t>TalentAlly</t>
        </is>
      </c>
      <c r="B211" t="inlineStr">
        <is>
          <t>Senior Cyber Security Analyst</t>
        </is>
      </c>
      <c r="C211" t="inlineStr">
        <is>
          <t>applied</t>
        </is>
      </c>
      <c r="D211" t="inlineStr">
        <is>
          <t>Handshake (auto-submission, reconciled 2026-09-05)</t>
        </is>
      </c>
      <c r="E211" t="inlineStr">
        <is>
          <t>2026-09-05</t>
        </is>
      </c>
      <c r="F211" t="inlineStr">
        <is>
          <t>2026-09-05</t>
        </is>
      </c>
    </row>
    <row r="212">
      <c r="A212" t="inlineStr">
        <is>
          <t>ABBTECH Professional Resources</t>
        </is>
      </c>
      <c r="B212" t="inlineStr">
        <is>
          <t>Jr Information System Administrator</t>
        </is>
      </c>
      <c r="C212" t="inlineStr">
        <is>
          <t>applied</t>
        </is>
      </c>
      <c r="D212" t="inlineStr">
        <is>
          <t>Handshake (auto-submission, reconciled 2026-09-05)</t>
        </is>
      </c>
      <c r="E212" t="inlineStr">
        <is>
          <t>2026-09-05</t>
        </is>
      </c>
      <c r="F212" t="inlineStr">
        <is>
          <t>2026-09-05</t>
        </is>
      </c>
    </row>
    <row r="213">
      <c r="A213" t="inlineStr">
        <is>
          <t>Navy Exchange Service Command</t>
        </is>
      </c>
      <c r="B213" t="inlineStr">
        <is>
          <t>NEXCOM Career Fair</t>
        </is>
      </c>
      <c r="C213" t="inlineStr">
        <is>
          <t>applied</t>
        </is>
      </c>
      <c r="D213" t="inlineStr">
        <is>
          <t>Handshake (auto-submission, reconciled 2026-09-05)</t>
        </is>
      </c>
      <c r="E213" t="inlineStr">
        <is>
          <t>2026-09-05</t>
        </is>
      </c>
      <c r="F213" t="inlineStr">
        <is>
          <t>2026-09-05</t>
        </is>
      </c>
    </row>
    <row r="214">
      <c r="A214" t="inlineStr">
        <is>
          <t>DigiM Solution LLC</t>
        </is>
      </c>
      <c r="B214" t="inlineStr">
        <is>
          <t>Infrastructure and Software Engineer</t>
        </is>
      </c>
      <c r="C214" t="inlineStr">
        <is>
          <t>applied</t>
        </is>
      </c>
      <c r="D214" t="inlineStr">
        <is>
          <t>Handshake (auto-submission, reconciled 2026-09-05)</t>
        </is>
      </c>
      <c r="E214" t="inlineStr">
        <is>
          <t>2026-09-04</t>
        </is>
      </c>
      <c r="F214" t="inlineStr">
        <is>
          <t>2026-09-04</t>
        </is>
      </c>
    </row>
    <row r="215">
      <c r="A215" t="inlineStr">
        <is>
          <t>Wanpanel</t>
        </is>
      </c>
      <c r="B215" t="inlineStr">
        <is>
          <t>Healthcare IT Infrastructure Engineer</t>
        </is>
      </c>
      <c r="C215" t="inlineStr">
        <is>
          <t>applied</t>
        </is>
      </c>
      <c r="D215" t="inlineStr">
        <is>
          <t>Handshake (auto-submission, reconciled 2026-09-05)</t>
        </is>
      </c>
      <c r="E215" t="inlineStr">
        <is>
          <t>2026-09-03</t>
        </is>
      </c>
      <c r="F215" t="inlineStr">
        <is>
          <t>2026-09-03</t>
        </is>
      </c>
    </row>
    <row r="216">
      <c r="A216" t="inlineStr">
        <is>
          <t>University at Buffalo Human Resources</t>
        </is>
      </c>
      <c r="B216" t="inlineStr">
        <is>
          <t>U260071 - Desktop Support / User Support Technician - JSMBS IT</t>
        </is>
      </c>
      <c r="C216" t="inlineStr">
        <is>
          <t>applied</t>
        </is>
      </c>
      <c r="D216" t="inlineStr">
        <is>
          <t>Handshake (auto-submission, reconciled 2026-09-05)</t>
        </is>
      </c>
      <c r="E216" t="inlineStr">
        <is>
          <t>2026-09-03</t>
        </is>
      </c>
      <c r="F216" t="inlineStr">
        <is>
          <t>2026-09-03</t>
        </is>
      </c>
    </row>
    <row r="217">
      <c r="A217" t="inlineStr">
        <is>
          <t>Summer Atlantic Capital LLC</t>
        </is>
      </c>
      <c r="B217" t="inlineStr">
        <is>
          <t>AI System Architect</t>
        </is>
      </c>
      <c r="C217" t="inlineStr">
        <is>
          <t>applied</t>
        </is>
      </c>
      <c r="D217" t="inlineStr">
        <is>
          <t>Handshake (auto-submission, reconciled 2026-09-05)</t>
        </is>
      </c>
      <c r="E217" t="inlineStr">
        <is>
          <t>2026-09-03</t>
        </is>
      </c>
      <c r="F217" t="inlineStr">
        <is>
          <t>2026-09-03</t>
        </is>
      </c>
    </row>
    <row r="218">
      <c r="A218" t="inlineStr">
        <is>
          <t>Answers in Genesis</t>
        </is>
      </c>
      <c r="B218" t="inlineStr">
        <is>
          <t>Senior Cyber Security Engineer</t>
        </is>
      </c>
      <c r="C218" t="inlineStr">
        <is>
          <t>applied</t>
        </is>
      </c>
      <c r="D218" t="inlineStr">
        <is>
          <t>Handshake (auto-submission, reconciled 2026-09-05)</t>
        </is>
      </c>
      <c r="E218" t="inlineStr">
        <is>
          <t>2026-09-03</t>
        </is>
      </c>
      <c r="F218" t="inlineStr">
        <is>
          <t>2026-09-03</t>
        </is>
      </c>
    </row>
    <row r="219">
      <c r="A219" t="inlineStr">
        <is>
          <t>California Department of Financial Protection and Innovation</t>
        </is>
      </c>
      <c r="B219" t="inlineStr">
        <is>
          <t>Security Operations Specialist (Information Technology Specialist I)</t>
        </is>
      </c>
      <c r="C219" t="inlineStr">
        <is>
          <t>applied</t>
        </is>
      </c>
      <c r="D219" t="inlineStr">
        <is>
          <t>Handshake (auto-submission, reconciled 2026-09-05)</t>
        </is>
      </c>
      <c r="E219" t="inlineStr">
        <is>
          <t>2026-09-03</t>
        </is>
      </c>
      <c r="F219" t="inlineStr">
        <is>
          <t>2026-09-03</t>
        </is>
      </c>
    </row>
    <row r="220">
      <c r="A220" t="inlineStr">
        <is>
          <t>PHA Alabama</t>
        </is>
      </c>
      <c r="B220" t="inlineStr">
        <is>
          <t>Information Technology Specialist</t>
        </is>
      </c>
      <c r="C220" t="inlineStr">
        <is>
          <t>applied</t>
        </is>
      </c>
      <c r="D220" t="inlineStr">
        <is>
          <t>Handshake (auto-submission, reconciled 2026-09-05)</t>
        </is>
      </c>
      <c r="E220" t="inlineStr">
        <is>
          <t>2026-09-03</t>
        </is>
      </c>
      <c r="F220" t="inlineStr">
        <is>
          <t>2026-09-03</t>
        </is>
      </c>
    </row>
    <row r="221">
      <c r="A221" t="inlineStr">
        <is>
          <t>Burning Rock DX LLC</t>
        </is>
      </c>
      <c r="B221" t="inlineStr">
        <is>
          <t>IT Engineer</t>
        </is>
      </c>
      <c r="C221" t="inlineStr">
        <is>
          <t>applied</t>
        </is>
      </c>
      <c r="D221" t="inlineStr">
        <is>
          <t>Handshake (auto-submission, reconciled 2026-09-05)</t>
        </is>
      </c>
      <c r="E221" t="inlineStr">
        <is>
          <t>2026-09-03</t>
        </is>
      </c>
      <c r="F221" t="inlineStr">
        <is>
          <t>2026-09-03</t>
        </is>
      </c>
    </row>
    <row r="222">
      <c r="A222" t="inlineStr">
        <is>
          <t>SGS Technologies</t>
        </is>
      </c>
      <c r="B222" t="inlineStr">
        <is>
          <t>Desktop Support Specialist</t>
        </is>
      </c>
      <c r="C222" t="inlineStr">
        <is>
          <t>applied</t>
        </is>
      </c>
      <c r="D222" t="inlineStr">
        <is>
          <t>Handshake (auto-submission, reconciled 2026-09-05)</t>
        </is>
      </c>
      <c r="E222" t="inlineStr">
        <is>
          <t>2026-09-03</t>
        </is>
      </c>
      <c r="F222" t="inlineStr">
        <is>
          <t>2026-09-03</t>
        </is>
      </c>
    </row>
    <row r="223">
      <c r="A223" t="inlineStr">
        <is>
          <t>State of Connecticut Executive Branch</t>
        </is>
      </c>
      <c r="B223" t="inlineStr">
        <is>
          <t>Information Technology Analyst 1</t>
        </is>
      </c>
      <c r="C223" t="inlineStr">
        <is>
          <t>applied</t>
        </is>
      </c>
      <c r="D223" t="inlineStr">
        <is>
          <t>Handshake (auto-submission, reconciled 2026-09-05)</t>
        </is>
      </c>
      <c r="E223" t="inlineStr">
        <is>
          <t>2026-09-03</t>
        </is>
      </c>
      <c r="F223" t="inlineStr">
        <is>
          <t>2026-09-03</t>
        </is>
      </c>
    </row>
    <row r="224">
      <c r="A224" t="inlineStr">
        <is>
          <t>South Central Planning and Development Commission</t>
        </is>
      </c>
      <c r="B224" t="inlineStr">
        <is>
          <t>Information Security Analyst I or II</t>
        </is>
      </c>
      <c r="C224" t="inlineStr">
        <is>
          <t>applied</t>
        </is>
      </c>
      <c r="D224" t="inlineStr">
        <is>
          <t>Handshake (auto-submission, reconciled 2026-09-05)</t>
        </is>
      </c>
      <c r="E224" t="inlineStr">
        <is>
          <t>2026-09-03</t>
        </is>
      </c>
      <c r="F224" t="inlineStr">
        <is>
          <t>2026-09-03</t>
        </is>
      </c>
    </row>
    <row r="225">
      <c r="A225" t="inlineStr">
        <is>
          <t>National Oceanic and Atmospheric Administration (NOAA)</t>
        </is>
      </c>
      <c r="B225" t="inlineStr">
        <is>
          <t>IT Specialist (Recent Graduate)</t>
        </is>
      </c>
      <c r="C225" t="inlineStr">
        <is>
          <t>applied</t>
        </is>
      </c>
      <c r="D225" t="inlineStr">
        <is>
          <t>Handshake (auto-submission, reconciled 2026-09-05)</t>
        </is>
      </c>
      <c r="E225" t="inlineStr">
        <is>
          <t>2026-09-03</t>
        </is>
      </c>
      <c r="F225" t="inlineStr">
        <is>
          <t>2026-09-03</t>
        </is>
      </c>
    </row>
    <row r="226">
      <c r="A226" t="inlineStr">
        <is>
          <t>Workiva</t>
        </is>
      </c>
      <c r="B226" t="inlineStr">
        <is>
          <t>Spring &amp; Summer 2027 Intern - Security &amp; GRC</t>
        </is>
      </c>
      <c r="C226" t="inlineStr">
        <is>
          <t>Applied (auto-submission via Simplify)</t>
        </is>
      </c>
      <c r="D226" t="inlineStr">
        <is>
          <t>Handshake (auto-submission, reconciled 2026-09-05)</t>
        </is>
      </c>
      <c r="E226" t="inlineStr">
        <is>
          <t>2026-09-03</t>
        </is>
      </c>
      <c r="F226" t="inlineStr">
        <is>
          <t>2026-09-03</t>
        </is>
      </c>
      <c r="G226" t="inlineStr">
        <is>
          <t>Discovered via Handshake reconciliation 2026-09-05; separately confirmed still active via Workday Candidate Home 2026-09-06</t>
        </is>
      </c>
    </row>
    <row r="227">
      <c r="A227" t="inlineStr">
        <is>
          <t>TrueIDM LLC</t>
        </is>
      </c>
      <c r="B227" t="inlineStr">
        <is>
          <t>AI Security Intern</t>
        </is>
      </c>
      <c r="C227" t="inlineStr">
        <is>
          <t>applied</t>
        </is>
      </c>
      <c r="D227" t="inlineStr">
        <is>
          <t>Handshake (auto-submission, reconciled 2026-09-05)</t>
        </is>
      </c>
      <c r="E227" t="inlineStr">
        <is>
          <t>2026-09-03</t>
        </is>
      </c>
      <c r="F227" t="inlineStr">
        <is>
          <t>2026-09-03</t>
        </is>
      </c>
    </row>
    <row r="228">
      <c r="A228" t="inlineStr">
        <is>
          <t>SGS Technologies</t>
        </is>
      </c>
      <c r="B228" t="inlineStr">
        <is>
          <t>Network Engineer</t>
        </is>
      </c>
      <c r="C228" t="inlineStr">
        <is>
          <t>applied</t>
        </is>
      </c>
      <c r="D228" t="inlineStr">
        <is>
          <t>Handshake (auto-submission, reconciled 2026-09-05)</t>
        </is>
      </c>
      <c r="E228" t="inlineStr">
        <is>
          <t>2026-08-30</t>
        </is>
      </c>
      <c r="F228" t="inlineStr">
        <is>
          <t>2026-08-30</t>
        </is>
      </c>
    </row>
    <row r="229">
      <c r="A229" t="inlineStr">
        <is>
          <t>Tecore Networks</t>
        </is>
      </c>
      <c r="B229" t="inlineStr">
        <is>
          <t>IP Network Engineer</t>
        </is>
      </c>
      <c r="C229" t="inlineStr">
        <is>
          <t>applied</t>
        </is>
      </c>
      <c r="D229" t="inlineStr">
        <is>
          <t>Handshake (auto-submission, reconciled 2026-09-05)</t>
        </is>
      </c>
      <c r="E229" t="inlineStr">
        <is>
          <t>2026-08-30</t>
        </is>
      </c>
      <c r="F229" t="inlineStr">
        <is>
          <t>2026-08-30</t>
        </is>
      </c>
    </row>
    <row r="230">
      <c r="A230" t="inlineStr">
        <is>
          <t>WIN Technology</t>
        </is>
      </c>
      <c r="B230" t="inlineStr">
        <is>
          <t>Network Engineer</t>
        </is>
      </c>
      <c r="C230" t="inlineStr">
        <is>
          <t>applied</t>
        </is>
      </c>
      <c r="D230" t="inlineStr">
        <is>
          <t>Handshake (auto-submission, reconciled 2026-09-05)</t>
        </is>
      </c>
      <c r="E230" t="inlineStr">
        <is>
          <t>2026-08-30</t>
        </is>
      </c>
      <c r="F230" t="inlineStr">
        <is>
          <t>2026-08-30</t>
        </is>
      </c>
    </row>
    <row r="231">
      <c r="A231" t="inlineStr">
        <is>
          <t>First Presbyterian Church of New Vernon</t>
        </is>
      </c>
      <c r="B231" t="inlineStr">
        <is>
          <t>IT system Administrator</t>
        </is>
      </c>
      <c r="C231" t="inlineStr">
        <is>
          <t>applied</t>
        </is>
      </c>
      <c r="D231" t="inlineStr">
        <is>
          <t>Handshake (auto-submission, reconciled 2026-09-05)</t>
        </is>
      </c>
      <c r="E231" t="inlineStr">
        <is>
          <t>2026-08-25</t>
        </is>
      </c>
      <c r="F231" t="inlineStr">
        <is>
          <t>2026-08-25</t>
        </is>
      </c>
    </row>
    <row r="232">
      <c r="A232" t="inlineStr">
        <is>
          <t>Washington State Department of Ecology</t>
        </is>
      </c>
      <c r="B232" t="inlineStr">
        <is>
          <t>Enterprise Portfolio Manager (IT Project Management – Senior/Specialist)</t>
        </is>
      </c>
      <c r="C232" t="inlineStr">
        <is>
          <t>applied</t>
        </is>
      </c>
      <c r="D232" t="inlineStr">
        <is>
          <t>Handshake (auto-submission, reconciled 2026-09-05)</t>
        </is>
      </c>
      <c r="E232" t="inlineStr">
        <is>
          <t>2026-08-24</t>
        </is>
      </c>
      <c r="F232" t="inlineStr">
        <is>
          <t>2026-08-24</t>
        </is>
      </c>
    </row>
    <row r="233">
      <c r="A233" t="inlineStr">
        <is>
          <t>Precision Castparts Corp.</t>
        </is>
      </c>
      <c r="B233" t="inlineStr">
        <is>
          <t>Information Technology Development Program- July 2027</t>
        </is>
      </c>
      <c r="C233" t="inlineStr">
        <is>
          <t>applied</t>
        </is>
      </c>
      <c r="D233" t="inlineStr">
        <is>
          <t>Handshake (auto-submission, reconciled 2026-09-05)</t>
        </is>
      </c>
      <c r="E233" t="inlineStr">
        <is>
          <t>2026-08-24</t>
        </is>
      </c>
      <c r="F233" t="inlineStr">
        <is>
          <t>2026-08-24</t>
        </is>
      </c>
    </row>
    <row r="234">
      <c r="A234" t="inlineStr">
        <is>
          <t>City of Los Angeles - Personnel Department: Civilian and Executive Recruitment</t>
        </is>
      </c>
      <c r="B234" t="inlineStr">
        <is>
          <t>Cyber Security Analyst</t>
        </is>
      </c>
      <c r="C234" t="inlineStr">
        <is>
          <t>applied</t>
        </is>
      </c>
      <c r="D234" t="inlineStr">
        <is>
          <t>Handshake (auto-submission, reconciled 2026-09-05)</t>
        </is>
      </c>
      <c r="E234" t="inlineStr">
        <is>
          <t>2026-08-24</t>
        </is>
      </c>
      <c r="F234" t="inlineStr">
        <is>
          <t>2026-08-24</t>
        </is>
      </c>
    </row>
    <row r="235">
      <c r="A235" t="inlineStr">
        <is>
          <t>University of Dayton</t>
        </is>
      </c>
      <c r="B235" t="inlineStr">
        <is>
          <t>Information System Security Engineer</t>
        </is>
      </c>
      <c r="C235" t="inlineStr">
        <is>
          <t>applied</t>
        </is>
      </c>
      <c r="D235" t="inlineStr">
        <is>
          <t>Handshake (auto-submission, reconciled 2026-09-05)</t>
        </is>
      </c>
      <c r="E235" t="inlineStr">
        <is>
          <t>2026-08-21</t>
        </is>
      </c>
      <c r="F235" t="inlineStr">
        <is>
          <t>2026-08-21</t>
        </is>
      </c>
    </row>
    <row r="236">
      <c r="A236" t="inlineStr">
        <is>
          <t>Nebraska Public Power District</t>
        </is>
      </c>
      <c r="B236" t="inlineStr">
        <is>
          <t>Cyber Security Governance, Risk, and Compliance (GRC) Analyst</t>
        </is>
      </c>
      <c r="C236" t="inlineStr">
        <is>
          <t>applied</t>
        </is>
      </c>
      <c r="D236" t="inlineStr">
        <is>
          <t>Handshake (auto-submission, reconciled 2026-09-05)</t>
        </is>
      </c>
      <c r="E236" t="inlineStr">
        <is>
          <t>2026-08-19</t>
        </is>
      </c>
      <c r="F236" t="inlineStr">
        <is>
          <t>2026-08-19</t>
        </is>
      </c>
    </row>
    <row r="237">
      <c r="A237" t="inlineStr">
        <is>
          <t>dsm-firmenich</t>
        </is>
      </c>
      <c r="B237" t="inlineStr">
        <is>
          <t>Cybersecurity Specialist</t>
        </is>
      </c>
      <c r="C237" t="inlineStr">
        <is>
          <t>applied</t>
        </is>
      </c>
      <c r="D237" t="inlineStr">
        <is>
          <t>Handshake (auto-submission, reconciled 2026-09-05)</t>
        </is>
      </c>
      <c r="E237" t="inlineStr">
        <is>
          <t>2026-08-19</t>
        </is>
      </c>
      <c r="F237" t="inlineStr">
        <is>
          <t>2026-08-19</t>
        </is>
      </c>
    </row>
    <row r="238">
      <c r="A238" t="inlineStr">
        <is>
          <t>SimVentions</t>
        </is>
      </c>
      <c r="B238" t="inlineStr">
        <is>
          <t>Cybersecurity Engineer 2026-1609</t>
        </is>
      </c>
      <c r="C238" t="inlineStr">
        <is>
          <t>applied</t>
        </is>
      </c>
      <c r="D238" t="inlineStr">
        <is>
          <t>Handshake (auto-submission, reconciled 2026-09-05)</t>
        </is>
      </c>
      <c r="E238" t="inlineStr">
        <is>
          <t>2026-08-19</t>
        </is>
      </c>
      <c r="F238" t="inlineStr">
        <is>
          <t>2026-08-19</t>
        </is>
      </c>
    </row>
    <row r="239">
      <c r="A239" t="inlineStr">
        <is>
          <t>CommonSpirit Health</t>
        </is>
      </c>
      <c r="B239" t="inlineStr">
        <is>
          <t>IT Administrative Fellowship</t>
        </is>
      </c>
      <c r="C239" t="inlineStr">
        <is>
          <t>applied</t>
        </is>
      </c>
      <c r="D239" t="inlineStr">
        <is>
          <t>Handshake (auto-submission, reconciled 2026-09-05)</t>
        </is>
      </c>
      <c r="E239" t="inlineStr">
        <is>
          <t>2026-08-18</t>
        </is>
      </c>
      <c r="F239" t="inlineStr">
        <is>
          <t>2026-08-18</t>
        </is>
      </c>
    </row>
    <row r="240">
      <c r="A240" t="inlineStr">
        <is>
          <t>University of Dayton</t>
        </is>
      </c>
      <c r="B240" t="inlineStr">
        <is>
          <t>Information System Security Officer</t>
        </is>
      </c>
      <c r="C240" t="inlineStr">
        <is>
          <t>applied</t>
        </is>
      </c>
      <c r="D240" t="inlineStr">
        <is>
          <t>Handshake (auto-submission, reconciled 2026-09-05)</t>
        </is>
      </c>
      <c r="E240" t="inlineStr">
        <is>
          <t>2026-08-18</t>
        </is>
      </c>
      <c r="F240" t="inlineStr">
        <is>
          <t>2026-08-18</t>
        </is>
      </c>
    </row>
    <row r="241">
      <c r="A241" t="inlineStr">
        <is>
          <t>SimVentions</t>
        </is>
      </c>
      <c r="B241" t="inlineStr">
        <is>
          <t>Cybersecurity Engineer - Senior Level 2026-1608</t>
        </is>
      </c>
      <c r="C241" t="inlineStr">
        <is>
          <t>applied</t>
        </is>
      </c>
      <c r="D241" t="inlineStr">
        <is>
          <t>Handshake (auto-submission, reconciled 2026-09-05)</t>
        </is>
      </c>
      <c r="E241" t="inlineStr">
        <is>
          <t>2026-08-14</t>
        </is>
      </c>
      <c r="F241" t="inlineStr">
        <is>
          <t>2026-08-14</t>
        </is>
      </c>
    </row>
    <row r="242">
      <c r="A242" t="inlineStr">
        <is>
          <t>Whatcom Community College</t>
        </is>
      </c>
      <c r="B242" t="inlineStr">
        <is>
          <t>Program Coordinator Cybersecurity</t>
        </is>
      </c>
      <c r="C242" t="inlineStr">
        <is>
          <t>applied</t>
        </is>
      </c>
      <c r="D242" t="inlineStr">
        <is>
          <t>Handshake (auto-submission, reconciled 2026-09-05)</t>
        </is>
      </c>
      <c r="E242" t="inlineStr">
        <is>
          <t>2026-08-14</t>
        </is>
      </c>
      <c r="F242" t="inlineStr">
        <is>
          <t>2026-08-14</t>
        </is>
      </c>
    </row>
    <row r="243">
      <c r="A243" t="inlineStr">
        <is>
          <t>Megan Soft Inc</t>
        </is>
      </c>
      <c r="B243" t="inlineStr">
        <is>
          <t>Cybersecurity Key Provisioning Engineer -61</t>
        </is>
      </c>
      <c r="C243" t="inlineStr">
        <is>
          <t>applied</t>
        </is>
      </c>
      <c r="D243" t="inlineStr">
        <is>
          <t>Handshake (auto-submission, reconciled 2026-09-05)</t>
        </is>
      </c>
      <c r="E243" t="inlineStr">
        <is>
          <t>2026-08-14</t>
        </is>
      </c>
      <c r="F243" t="inlineStr">
        <is>
          <t>2026-08-14</t>
        </is>
      </c>
    </row>
    <row r="244">
      <c r="A244" t="inlineStr">
        <is>
          <t>Cold Spring Harbor Laboratory</t>
        </is>
      </c>
      <c r="B244" t="inlineStr">
        <is>
          <t>Cybersecurity Manager</t>
        </is>
      </c>
      <c r="C244" t="inlineStr">
        <is>
          <t>applied</t>
        </is>
      </c>
      <c r="D244" t="inlineStr">
        <is>
          <t>Handshake (auto-submission, reconciled 2026-09-05)</t>
        </is>
      </c>
      <c r="E244" t="inlineStr">
        <is>
          <t>2026-08-14</t>
        </is>
      </c>
      <c r="F244" t="inlineStr">
        <is>
          <t>2026-08-14</t>
        </is>
      </c>
    </row>
    <row r="245">
      <c r="A245" t="inlineStr">
        <is>
          <t>Resilience, Inc.</t>
        </is>
      </c>
      <c r="B245" t="inlineStr">
        <is>
          <t>Cybersecurity Analyst</t>
        </is>
      </c>
      <c r="C245" t="inlineStr">
        <is>
          <t>applied</t>
        </is>
      </c>
      <c r="D245" t="inlineStr">
        <is>
          <t>Handshake (auto-submission, reconciled 2026-09-05)</t>
        </is>
      </c>
      <c r="E245" t="inlineStr">
        <is>
          <t>2026-08-14</t>
        </is>
      </c>
      <c r="F245" t="inlineStr">
        <is>
          <t>2026-08-14</t>
        </is>
      </c>
    </row>
    <row r="246">
      <c r="A246" t="inlineStr">
        <is>
          <t>MDU Resources Group, Inc</t>
        </is>
      </c>
      <c r="B246" t="inlineStr">
        <is>
          <t>IT Systems Administrator</t>
        </is>
      </c>
      <c r="C246" t="inlineStr">
        <is>
          <t>applied</t>
        </is>
      </c>
      <c r="D246" t="inlineStr">
        <is>
          <t>Handshake (auto-submission, reconciled 2026-09-05)</t>
        </is>
      </c>
      <c r="E246" t="inlineStr">
        <is>
          <t>2026-08-14</t>
        </is>
      </c>
      <c r="F246" t="inlineStr">
        <is>
          <t>2026-08-14</t>
        </is>
      </c>
    </row>
    <row r="247">
      <c r="A247" t="inlineStr">
        <is>
          <t>Assured Information Security</t>
        </is>
      </c>
      <c r="B247" t="inlineStr">
        <is>
          <t>Deployment Engineer</t>
        </is>
      </c>
      <c r="C247" t="inlineStr">
        <is>
          <t>applied</t>
        </is>
      </c>
      <c r="D247" t="inlineStr">
        <is>
          <t>Handshake (auto-submission, reconciled 2026-09-05)</t>
        </is>
      </c>
      <c r="E247" t="inlineStr">
        <is>
          <t>2026-08-14</t>
        </is>
      </c>
      <c r="F247" t="inlineStr">
        <is>
          <t>2026-08-14</t>
        </is>
      </c>
    </row>
    <row r="248">
      <c r="A248" t="inlineStr">
        <is>
          <t>Cyberlogitec America, Inc.</t>
        </is>
      </c>
      <c r="B248" t="inlineStr">
        <is>
          <t>Infrastructure Systems Engineer</t>
        </is>
      </c>
      <c r="C248" t="inlineStr">
        <is>
          <t>applied</t>
        </is>
      </c>
      <c r="D248" t="inlineStr">
        <is>
          <t>Handshake (auto-submission, reconciled 2026-09-05)</t>
        </is>
      </c>
      <c r="E248" t="inlineStr">
        <is>
          <t>2026-08-14</t>
        </is>
      </c>
      <c r="F248" t="inlineStr">
        <is>
          <t>2026-08-14</t>
        </is>
      </c>
    </row>
    <row r="249">
      <c r="A249" t="inlineStr">
        <is>
          <t>Associated Electric Cooperative, Inc.</t>
        </is>
      </c>
      <c r="B249" t="inlineStr">
        <is>
          <t>Technology Operations Leader</t>
        </is>
      </c>
      <c r="C249" t="inlineStr">
        <is>
          <t>applied</t>
        </is>
      </c>
      <c r="D249" t="inlineStr">
        <is>
          <t>Handshake (auto-submission, reconciled 2026-09-05)</t>
        </is>
      </c>
      <c r="E249" t="inlineStr">
        <is>
          <t>2026-08-12</t>
        </is>
      </c>
      <c r="F249" t="inlineStr">
        <is>
          <t>2026-08-12</t>
        </is>
      </c>
    </row>
    <row r="250">
      <c r="A250" t="inlineStr">
        <is>
          <t>St. Louis County</t>
        </is>
      </c>
      <c r="B250" t="inlineStr">
        <is>
          <t>Digital Forensic Technician</t>
        </is>
      </c>
      <c r="C250" t="inlineStr">
        <is>
          <t>applied</t>
        </is>
      </c>
      <c r="D250" t="inlineStr">
        <is>
          <t>Handshake (auto-submission, reconciled 2026-09-05)</t>
        </is>
      </c>
      <c r="E250" t="inlineStr">
        <is>
          <t>2026-08-08</t>
        </is>
      </c>
      <c r="F250" t="inlineStr">
        <is>
          <t>2026-08-08</t>
        </is>
      </c>
    </row>
    <row r="251">
      <c r="A251" t="inlineStr">
        <is>
          <t>Yesdi Inc.</t>
        </is>
      </c>
      <c r="B251" t="inlineStr">
        <is>
          <t>IT Analyst</t>
        </is>
      </c>
      <c r="C251" t="inlineStr">
        <is>
          <t>applied</t>
        </is>
      </c>
      <c r="D251" t="inlineStr">
        <is>
          <t>Handshake (auto-submission, reconciled 2026-09-05)</t>
        </is>
      </c>
      <c r="E251" t="inlineStr">
        <is>
          <t>2026-08-08</t>
        </is>
      </c>
      <c r="F251" t="inlineStr">
        <is>
          <t>2026-08-08</t>
        </is>
      </c>
    </row>
    <row r="252">
      <c r="A252" t="inlineStr">
        <is>
          <t>Yesdi Inc.</t>
        </is>
      </c>
      <c r="B252" t="inlineStr">
        <is>
          <t>Information/Privacy Analyst</t>
        </is>
      </c>
      <c r="C252" t="inlineStr">
        <is>
          <t>applied</t>
        </is>
      </c>
      <c r="D252" t="inlineStr">
        <is>
          <t>Handshake (auto-submission, reconciled 2026-09-05)</t>
        </is>
      </c>
      <c r="E252" t="inlineStr">
        <is>
          <t>2026-08-08</t>
        </is>
      </c>
      <c r="F252" t="inlineStr">
        <is>
          <t>2026-08-08</t>
        </is>
      </c>
    </row>
    <row r="253">
      <c r="A253" t="inlineStr">
        <is>
          <t>Ozarks Electric Cooperative</t>
        </is>
      </c>
      <c r="B253" t="inlineStr">
        <is>
          <t>Cybersecurity Analyst I</t>
        </is>
      </c>
      <c r="C253" t="inlineStr">
        <is>
          <t>applied</t>
        </is>
      </c>
      <c r="D253" t="inlineStr">
        <is>
          <t>Handshake (auto-submission, reconciled 2026-09-05)</t>
        </is>
      </c>
      <c r="E253" t="inlineStr">
        <is>
          <t>2026-08-08</t>
        </is>
      </c>
      <c r="F253" t="inlineStr">
        <is>
          <t>2026-08-08</t>
        </is>
      </c>
    </row>
    <row r="254">
      <c r="A254" t="inlineStr">
        <is>
          <t>Utility Services</t>
        </is>
      </c>
      <c r="B254" t="inlineStr">
        <is>
          <t>CIP Associate - Compliance and Cybersecurity</t>
        </is>
      </c>
      <c r="C254" t="inlineStr">
        <is>
          <t>applied</t>
        </is>
      </c>
      <c r="D254" t="inlineStr">
        <is>
          <t>Handshake (auto-submission, reconciled 2026-09-05)</t>
        </is>
      </c>
      <c r="E254" t="inlineStr">
        <is>
          <t>2026-08-08</t>
        </is>
      </c>
      <c r="F254" t="inlineStr">
        <is>
          <t>2026-08-08</t>
        </is>
      </c>
    </row>
    <row r="255">
      <c r="A255" t="inlineStr">
        <is>
          <t>NiSource, Inc.</t>
        </is>
      </c>
      <c r="B255" t="inlineStr">
        <is>
          <t>(#R00943275) Cybersecurity Analyst - Entry Level</t>
        </is>
      </c>
      <c r="C255" t="inlineStr">
        <is>
          <t>applied</t>
        </is>
      </c>
      <c r="D255" t="inlineStr">
        <is>
          <t>Handshake (auto-submission, reconciled 2026-09-05)</t>
        </is>
      </c>
      <c r="E255" t="inlineStr">
        <is>
          <t>2026-08-08</t>
        </is>
      </c>
      <c r="F255" t="inlineStr">
        <is>
          <t>2026-08-08</t>
        </is>
      </c>
    </row>
    <row r="256">
      <c r="A256" t="inlineStr">
        <is>
          <t>College of Charleston: Human Resources</t>
        </is>
      </c>
      <c r="B256" t="inlineStr">
        <is>
          <t>Senior Information Security Analyst</t>
        </is>
      </c>
      <c r="C256" t="inlineStr">
        <is>
          <t>applied</t>
        </is>
      </c>
      <c r="D256" t="inlineStr">
        <is>
          <t>Handshake (auto-submission, reconciled 2026-09-05)</t>
        </is>
      </c>
      <c r="E256" t="inlineStr">
        <is>
          <t>2026-08-08</t>
        </is>
      </c>
      <c r="F256" t="inlineStr">
        <is>
          <t>2026-08-08</t>
        </is>
      </c>
    </row>
    <row r="257">
      <c r="A257" t="inlineStr">
        <is>
          <t>Applied Research Associates, Inc. (ARA)</t>
        </is>
      </c>
      <c r="B257" t="inlineStr">
        <is>
          <t>Information System Security Engineer (ISSE) – Risk Management Framework (RMF), AWS, ACAS, Splunk</t>
        </is>
      </c>
      <c r="C257" t="inlineStr">
        <is>
          <t>applied</t>
        </is>
      </c>
      <c r="D257" t="inlineStr">
        <is>
          <t>Handshake (auto-submission, reconciled 2026-09-05)</t>
        </is>
      </c>
      <c r="E257" t="inlineStr">
        <is>
          <t>2026-07-27</t>
        </is>
      </c>
      <c r="F257" t="inlineStr">
        <is>
          <t>2026-07-27</t>
        </is>
      </c>
    </row>
    <row r="258">
      <c r="A258" t="inlineStr">
        <is>
          <t>SRC, Inc</t>
        </is>
      </c>
      <c r="B258" t="inlineStr">
        <is>
          <t>TechELINT Analyst</t>
        </is>
      </c>
      <c r="C258" t="inlineStr">
        <is>
          <t>applied</t>
        </is>
      </c>
      <c r="D258" t="inlineStr">
        <is>
          <t>Handshake (auto-submission, reconciled 2026-09-05)</t>
        </is>
      </c>
      <c r="E258" t="inlineStr">
        <is>
          <t>2026-07-22</t>
        </is>
      </c>
      <c r="F258" t="inlineStr">
        <is>
          <t>2026-07-22</t>
        </is>
      </c>
    </row>
    <row r="259">
      <c r="A259" t="inlineStr">
        <is>
          <t>SpawGlass</t>
        </is>
      </c>
      <c r="B259" t="inlineStr">
        <is>
          <t>Cybersecurity Intern</t>
        </is>
      </c>
      <c r="C259" t="inlineStr">
        <is>
          <t>applied</t>
        </is>
      </c>
      <c r="D259" t="inlineStr">
        <is>
          <t>Handshake (auto-submission, reconciled 2026-09-05)</t>
        </is>
      </c>
      <c r="E259" t="inlineStr">
        <is>
          <t>2026-07-21</t>
        </is>
      </c>
      <c r="F259" t="inlineStr">
        <is>
          <t>2026-07-21</t>
        </is>
      </c>
    </row>
    <row r="260">
      <c r="A260" t="inlineStr">
        <is>
          <t>City of Bozeman</t>
        </is>
      </c>
      <c r="B260" t="inlineStr">
        <is>
          <t>Cybersecurity Analyst</t>
        </is>
      </c>
      <c r="C260" t="inlineStr">
        <is>
          <t>applied</t>
        </is>
      </c>
      <c r="D260" t="inlineStr">
        <is>
          <t>Handshake (auto-submission, reconciled 2026-09-05)</t>
        </is>
      </c>
      <c r="E260" t="inlineStr">
        <is>
          <t>2026-07-21</t>
        </is>
      </c>
      <c r="F260" t="inlineStr">
        <is>
          <t>2026-07-21</t>
        </is>
      </c>
    </row>
    <row r="261">
      <c r="A261" t="inlineStr">
        <is>
          <t>OF Mossberg</t>
        </is>
      </c>
      <c r="B261" t="inlineStr">
        <is>
          <t>AI and Information Technology Intern</t>
        </is>
      </c>
      <c r="C261" t="inlineStr">
        <is>
          <t>applied</t>
        </is>
      </c>
      <c r="D261" t="inlineStr">
        <is>
          <t>Handshake (auto-submission, reconciled 2026-09-05)</t>
        </is>
      </c>
      <c r="E261" t="inlineStr">
        <is>
          <t>2026-07-21</t>
        </is>
      </c>
      <c r="F261" t="inlineStr">
        <is>
          <t>2026-07-21</t>
        </is>
      </c>
    </row>
    <row r="262">
      <c r="A262" t="inlineStr">
        <is>
          <t>SRC, Inc</t>
        </is>
      </c>
      <c r="B262" t="inlineStr">
        <is>
          <t>Security Manager Specialist</t>
        </is>
      </c>
      <c r="C262" t="inlineStr">
        <is>
          <t>applied</t>
        </is>
      </c>
      <c r="D262" t="inlineStr">
        <is>
          <t>Handshake (auto-submission, reconciled 2026-09-05)</t>
        </is>
      </c>
      <c r="E262" t="inlineStr">
        <is>
          <t>2026-07-21</t>
        </is>
      </c>
      <c r="F262" t="inlineStr">
        <is>
          <t>2026-07-21</t>
        </is>
      </c>
    </row>
    <row r="263">
      <c r="A263" t="inlineStr">
        <is>
          <t>EMI Advisors LLC</t>
        </is>
      </c>
      <c r="B263" t="inlineStr">
        <is>
          <t>Cybersecurity Engineering Intern</t>
        </is>
      </c>
      <c r="C263" t="inlineStr">
        <is>
          <t>applied</t>
        </is>
      </c>
      <c r="D263" t="inlineStr">
        <is>
          <t>Handshake (auto-submission, reconciled 2026-09-05)</t>
        </is>
      </c>
      <c r="E263" t="inlineStr">
        <is>
          <t>2026-07-21</t>
        </is>
      </c>
      <c r="F263" t="inlineStr">
        <is>
          <t>2026-07-21</t>
        </is>
      </c>
    </row>
    <row r="264">
      <c r="A264" t="inlineStr">
        <is>
          <t>Delta Defense LLC</t>
        </is>
      </c>
      <c r="B264" t="inlineStr">
        <is>
          <t>Cybersecurity Engineer (Application Security focus)</t>
        </is>
      </c>
      <c r="C264" t="inlineStr">
        <is>
          <t>applied</t>
        </is>
      </c>
      <c r="D264" t="inlineStr">
        <is>
          <t>Handshake (auto-submission, reconciled 2026-09-05)</t>
        </is>
      </c>
      <c r="E264" t="inlineStr">
        <is>
          <t>2026-07-21</t>
        </is>
      </c>
      <c r="F264" t="inlineStr">
        <is>
          <t>2026-07-21</t>
        </is>
      </c>
    </row>
    <row r="265">
      <c r="A265" t="inlineStr">
        <is>
          <t>Salina Regional Health Center</t>
        </is>
      </c>
      <c r="B265" t="inlineStr">
        <is>
          <t>Information Technology Intern</t>
        </is>
      </c>
      <c r="C265" t="inlineStr">
        <is>
          <t>applied</t>
        </is>
      </c>
      <c r="D265" t="inlineStr">
        <is>
          <t>Handshake (auto-submission, reconciled 2026-09-05)</t>
        </is>
      </c>
      <c r="E265" t="inlineStr">
        <is>
          <t>2026-07-21</t>
        </is>
      </c>
      <c r="F265" t="inlineStr">
        <is>
          <t>2026-07-21</t>
        </is>
      </c>
    </row>
    <row r="266">
      <c r="A266" t="inlineStr">
        <is>
          <t>ArmorPoint</t>
        </is>
      </c>
      <c r="B266" t="inlineStr">
        <is>
          <t>Cybersecurity Intern</t>
        </is>
      </c>
      <c r="C266" t="inlineStr">
        <is>
          <t>applied</t>
        </is>
      </c>
      <c r="D266" t="inlineStr">
        <is>
          <t>Handshake (auto-submission, reconciled 2026-09-05)</t>
        </is>
      </c>
      <c r="E266" t="inlineStr">
        <is>
          <t>2026-07-21</t>
        </is>
      </c>
      <c r="F266" t="inlineStr">
        <is>
          <t>2026-07-21</t>
        </is>
      </c>
    </row>
    <row r="267">
      <c r="A267" t="inlineStr">
        <is>
          <t>Applied Research Associates, Inc. (ARA)</t>
        </is>
      </c>
      <c r="B267" t="inlineStr">
        <is>
          <t>Junior Security Specialist Officer (SSO) - JUNIO009963-00001</t>
        </is>
      </c>
      <c r="C267" t="inlineStr">
        <is>
          <t>applied</t>
        </is>
      </c>
      <c r="D267" t="inlineStr">
        <is>
          <t>Handshake (auto-submission, reconciled 2026-09-05)</t>
        </is>
      </c>
      <c r="E267" t="inlineStr">
        <is>
          <t>2026-07-21</t>
        </is>
      </c>
      <c r="F267" t="inlineStr">
        <is>
          <t>2026-07-21</t>
        </is>
      </c>
    </row>
    <row r="268">
      <c r="A268" t="inlineStr">
        <is>
          <t>Fairfax County Government</t>
        </is>
      </c>
      <c r="B268" t="inlineStr">
        <is>
          <t>Information Security Analyst II</t>
        </is>
      </c>
      <c r="C268" t="inlineStr">
        <is>
          <t>applied</t>
        </is>
      </c>
      <c r="D268" t="inlineStr">
        <is>
          <t>Handshake (auto-submission, reconciled 2026-09-05)</t>
        </is>
      </c>
      <c r="E268" t="inlineStr">
        <is>
          <t>2026-07-21</t>
        </is>
      </c>
      <c r="F268" t="inlineStr">
        <is>
          <t>2026-07-21</t>
        </is>
      </c>
    </row>
    <row r="269">
      <c r="A269" t="inlineStr">
        <is>
          <t>Quality Healthcare Staffing</t>
        </is>
      </c>
      <c r="B269" t="inlineStr">
        <is>
          <t>Clinical Engineering Cyber Specialist</t>
        </is>
      </c>
      <c r="C269" t="inlineStr">
        <is>
          <t>applied</t>
        </is>
      </c>
      <c r="D269" t="inlineStr">
        <is>
          <t>Handshake (auto-submission, reconciled 2026-09-05)</t>
        </is>
      </c>
      <c r="E269" t="inlineStr">
        <is>
          <t>2026-07-21</t>
        </is>
      </c>
      <c r="F269" t="inlineStr">
        <is>
          <t>2026-07-21</t>
        </is>
      </c>
    </row>
    <row r="270">
      <c r="A270" t="inlineStr">
        <is>
          <t>Exponent</t>
        </is>
      </c>
      <c r="B270" t="inlineStr">
        <is>
          <t>Artificial Intelligence (AI) Cybersecurity Scientist (Ph.D.)</t>
        </is>
      </c>
      <c r="C270" t="inlineStr">
        <is>
          <t>applied</t>
        </is>
      </c>
      <c r="D270" t="inlineStr">
        <is>
          <t>Handshake (auto-submission, reconciled 2026-09-05)</t>
        </is>
      </c>
      <c r="E270" t="inlineStr">
        <is>
          <t>2026-07-21</t>
        </is>
      </c>
      <c r="F270" t="inlineStr">
        <is>
          <t>2026-07-21</t>
        </is>
      </c>
    </row>
    <row r="271">
      <c r="A271" t="inlineStr">
        <is>
          <t>Applied Research Associates, Inc. (ARA)</t>
        </is>
      </c>
      <c r="B271" t="inlineStr">
        <is>
          <t>Information Systems Security Officer - ISSO - INFOR009895-00001</t>
        </is>
      </c>
      <c r="C271" t="inlineStr">
        <is>
          <t>applied</t>
        </is>
      </c>
      <c r="D271" t="inlineStr">
        <is>
          <t>Handshake (auto-submission, reconciled 2026-09-05)</t>
        </is>
      </c>
      <c r="E271" t="inlineStr">
        <is>
          <t>2026-07-16</t>
        </is>
      </c>
      <c r="F271" t="inlineStr">
        <is>
          <t>2026-07-16</t>
        </is>
      </c>
    </row>
    <row r="272">
      <c r="A272" t="inlineStr">
        <is>
          <t>Clark Schaefer Strategic HR</t>
        </is>
      </c>
      <c r="B272" t="inlineStr">
        <is>
          <t>Cybersecurity Analyst</t>
        </is>
      </c>
      <c r="C272" t="inlineStr">
        <is>
          <t>applied</t>
        </is>
      </c>
      <c r="D272" t="inlineStr">
        <is>
          <t>Handshake (auto-submission, reconciled 2026-09-05)</t>
        </is>
      </c>
      <c r="E272" t="inlineStr">
        <is>
          <t>2026-07-10</t>
        </is>
      </c>
      <c r="F272" t="inlineStr">
        <is>
          <t>2026-07-10</t>
        </is>
      </c>
    </row>
    <row r="273">
      <c r="A273" t="inlineStr">
        <is>
          <t>Colorado College</t>
        </is>
      </c>
      <c r="B273" t="inlineStr">
        <is>
          <t>Information Security Analyst</t>
        </is>
      </c>
      <c r="C273" t="inlineStr">
        <is>
          <t>applied</t>
        </is>
      </c>
      <c r="D273" t="inlineStr">
        <is>
          <t>Handshake (auto-submission, reconciled 2026-09-05)</t>
        </is>
      </c>
      <c r="E273" t="inlineStr">
        <is>
          <t>2026-07-10</t>
        </is>
      </c>
      <c r="F273" t="inlineStr">
        <is>
          <t>2026-07-10</t>
        </is>
      </c>
    </row>
    <row r="274">
      <c r="A274" t="inlineStr">
        <is>
          <t>Teacher Retirement System of Texas</t>
        </is>
      </c>
      <c r="B274" t="inlineStr">
        <is>
          <t>Cybersecurity Associate</t>
        </is>
      </c>
      <c r="C274" t="inlineStr">
        <is>
          <t>applied</t>
        </is>
      </c>
      <c r="D274" t="inlineStr">
        <is>
          <t>Handshake (auto-submission, reconciled 2026-09-05)</t>
        </is>
      </c>
      <c r="E274" t="inlineStr">
        <is>
          <t>2026-07-10</t>
        </is>
      </c>
      <c r="F274" t="inlineStr">
        <is>
          <t>2026-07-10</t>
        </is>
      </c>
    </row>
    <row r="275">
      <c r="A275" t="inlineStr">
        <is>
          <t>Aegis Mobile</t>
        </is>
      </c>
      <c r="B275" t="inlineStr">
        <is>
          <t>Information Security Program Analyst</t>
        </is>
      </c>
      <c r="C275" t="inlineStr">
        <is>
          <t>rejected</t>
        </is>
      </c>
      <c r="D275" t="inlineStr">
        <is>
          <t>Handshake (auto-submission, reconciled 2026-09-05)</t>
        </is>
      </c>
      <c r="E275" t="inlineStr">
        <is>
          <t>2026-07-10</t>
        </is>
      </c>
    </row>
    <row r="276">
      <c r="A276" t="inlineStr">
        <is>
          <t>Elite Tech Solute Inc</t>
        </is>
      </c>
      <c r="B276" t="inlineStr">
        <is>
          <t>Cybersecurity Engineer</t>
        </is>
      </c>
      <c r="C276" t="inlineStr">
        <is>
          <t>applied</t>
        </is>
      </c>
      <c r="D276" t="inlineStr">
        <is>
          <t>Handshake (auto-submission, reconciled 2026-09-05)</t>
        </is>
      </c>
      <c r="E276" t="inlineStr">
        <is>
          <t>2026-07-10</t>
        </is>
      </c>
      <c r="F276" t="inlineStr">
        <is>
          <t>2026-07-10</t>
        </is>
      </c>
    </row>
    <row r="277">
      <c r="A277" t="inlineStr">
        <is>
          <t>Fortress Information Security</t>
        </is>
      </c>
      <c r="B277" t="inlineStr">
        <is>
          <t>Cyber Operator</t>
        </is>
      </c>
      <c r="C277" t="inlineStr">
        <is>
          <t>applied</t>
        </is>
      </c>
      <c r="D277" t="inlineStr">
        <is>
          <t>Handshake (auto-submission, reconciled 2026-09-05)</t>
        </is>
      </c>
      <c r="E277" t="inlineStr">
        <is>
          <t>2026-07-10</t>
        </is>
      </c>
      <c r="F277" t="inlineStr">
        <is>
          <t>2026-07-10</t>
        </is>
      </c>
    </row>
    <row r="278">
      <c r="A278" t="inlineStr">
        <is>
          <t>Briscent Global LLC</t>
        </is>
      </c>
      <c r="B278" t="inlineStr">
        <is>
          <t>Cyber Security Analyst</t>
        </is>
      </c>
      <c r="C278" t="inlineStr">
        <is>
          <t>applied</t>
        </is>
      </c>
      <c r="D278" t="inlineStr">
        <is>
          <t>Handshake (auto-submission, reconciled 2026-09-05)</t>
        </is>
      </c>
      <c r="E278" t="inlineStr">
        <is>
          <t>2026-07-10</t>
        </is>
      </c>
      <c r="F278" t="inlineStr">
        <is>
          <t>2026-07-10</t>
        </is>
      </c>
    </row>
    <row r="279">
      <c r="A279" t="inlineStr">
        <is>
          <t>Downingtown Area School District</t>
        </is>
      </c>
      <c r="B279" t="inlineStr">
        <is>
          <t>Chief Security Officer</t>
        </is>
      </c>
      <c r="C279" t="inlineStr">
        <is>
          <t>applied</t>
        </is>
      </c>
      <c r="D279" t="inlineStr">
        <is>
          <t>Handshake (auto-submission, reconciled 2026-09-05)</t>
        </is>
      </c>
      <c r="E279" t="inlineStr">
        <is>
          <t>2026-06-30</t>
        </is>
      </c>
      <c r="F279" t="inlineStr">
        <is>
          <t>2026-06-30</t>
        </is>
      </c>
    </row>
    <row r="280">
      <c r="A280" t="inlineStr">
        <is>
          <t>Adaptive Solutions, LLC</t>
        </is>
      </c>
      <c r="B280" t="inlineStr">
        <is>
          <t>Situational Awareness Specialist</t>
        </is>
      </c>
      <c r="C280" t="inlineStr">
        <is>
          <t>applied</t>
        </is>
      </c>
      <c r="D280" t="inlineStr">
        <is>
          <t>Handshake (auto-submission, reconciled 2026-09-05)</t>
        </is>
      </c>
      <c r="E280" t="inlineStr">
        <is>
          <t>2026-06-30</t>
        </is>
      </c>
      <c r="F280" t="inlineStr">
        <is>
          <t>2026-06-30</t>
        </is>
      </c>
    </row>
    <row r="281">
      <c r="A281" t="inlineStr">
        <is>
          <t>Uber AI Solutions</t>
        </is>
      </c>
      <c r="B281" t="inlineStr">
        <is>
          <t>Cybersecurity Evaluation Reviewer</t>
        </is>
      </c>
      <c r="C281" t="inlineStr">
        <is>
          <t>applied</t>
        </is>
      </c>
      <c r="D281" t="inlineStr">
        <is>
          <t>Handshake (auto-submission, reconciled 2026-09-05)</t>
        </is>
      </c>
      <c r="E281" t="inlineStr">
        <is>
          <t>2026-06-30</t>
        </is>
      </c>
      <c r="F281" t="inlineStr">
        <is>
          <t>2026-06-30</t>
        </is>
      </c>
    </row>
    <row r="282">
      <c r="A282" t="inlineStr">
        <is>
          <t>Schneider</t>
        </is>
      </c>
      <c r="B282" t="inlineStr">
        <is>
          <t>Security Specialist</t>
        </is>
      </c>
      <c r="C282" t="inlineStr">
        <is>
          <t>applied</t>
        </is>
      </c>
      <c r="D282" t="inlineStr">
        <is>
          <t>Handshake (auto-submission, reconciled 2026-09-05)</t>
        </is>
      </c>
      <c r="E282" t="inlineStr">
        <is>
          <t>2026-06-30</t>
        </is>
      </c>
      <c r="F282" t="inlineStr">
        <is>
          <t>2026-06-30</t>
        </is>
      </c>
    </row>
    <row r="283">
      <c r="A283" t="inlineStr">
        <is>
          <t>U.S. General Services Administration (GSA)</t>
        </is>
      </c>
      <c r="B283" t="inlineStr">
        <is>
          <t>IT Specialist</t>
        </is>
      </c>
      <c r="C283" t="inlineStr">
        <is>
          <t>applied</t>
        </is>
      </c>
      <c r="D283" t="inlineStr">
        <is>
          <t>Handshake (auto-submission, reconciled 2026-09-05)</t>
        </is>
      </c>
      <c r="E283" t="inlineStr">
        <is>
          <t>2026-06-30</t>
        </is>
      </c>
      <c r="F283" t="inlineStr">
        <is>
          <t>2026-06-30</t>
        </is>
      </c>
    </row>
    <row r="284">
      <c r="A284" t="inlineStr">
        <is>
          <t>GM Financial</t>
        </is>
      </c>
      <c r="B284" t="inlineStr">
        <is>
          <t>Associate Cybersecurity Engineer</t>
        </is>
      </c>
      <c r="C284" t="inlineStr">
        <is>
          <t>applied</t>
        </is>
      </c>
      <c r="D284" t="inlineStr">
        <is>
          <t>Handshake (auto-submission, reconciled 2026-09-05)</t>
        </is>
      </c>
      <c r="E284" t="inlineStr">
        <is>
          <t>2026-06-17</t>
        </is>
      </c>
      <c r="F284" t="inlineStr">
        <is>
          <t>2026-06-17</t>
        </is>
      </c>
    </row>
    <row r="285">
      <c r="A285" t="inlineStr">
        <is>
          <t>TDK USA Corporation</t>
        </is>
      </c>
      <c r="B285" t="inlineStr">
        <is>
          <t>Cybersecurity Specialist</t>
        </is>
      </c>
      <c r="C285" t="inlineStr">
        <is>
          <t>applied</t>
        </is>
      </c>
      <c r="D285" t="inlineStr">
        <is>
          <t>Handshake (auto-submission, reconciled 2026-09-05)</t>
        </is>
      </c>
      <c r="E285" t="inlineStr">
        <is>
          <t>2026-06-17</t>
        </is>
      </c>
      <c r="F285" t="inlineStr">
        <is>
          <t>2026-06-17</t>
        </is>
      </c>
    </row>
    <row r="286">
      <c r="A286" t="inlineStr">
        <is>
          <t>Humango Solutions, LLC</t>
        </is>
      </c>
      <c r="B286" t="inlineStr">
        <is>
          <t>Part-Time Security Analyst (HUBZone)</t>
        </is>
      </c>
      <c r="C286" t="inlineStr">
        <is>
          <t>applied</t>
        </is>
      </c>
      <c r="D286" t="inlineStr">
        <is>
          <t>Handshake (auto-submission, reconciled 2026-09-05)</t>
        </is>
      </c>
      <c r="E286" t="inlineStr">
        <is>
          <t>2026-06-17</t>
        </is>
      </c>
      <c r="F286" t="inlineStr">
        <is>
          <t>2026-06-17</t>
        </is>
      </c>
    </row>
    <row r="287">
      <c r="A287" t="inlineStr">
        <is>
          <t>Applied Research Associates, Inc. (ARA)</t>
        </is>
      </c>
      <c r="B287" t="inlineStr">
        <is>
          <t>Principal Cyber Security Analyst</t>
        </is>
      </c>
      <c r="C287" t="inlineStr">
        <is>
          <t>applied</t>
        </is>
      </c>
      <c r="D287" t="inlineStr">
        <is>
          <t>Handshake (auto-submission, reconciled 2026-09-05)</t>
        </is>
      </c>
      <c r="E287" t="inlineStr">
        <is>
          <t>2026-06-14</t>
        </is>
      </c>
      <c r="F287" t="inlineStr">
        <is>
          <t>2026-06-14</t>
        </is>
      </c>
    </row>
    <row r="288">
      <c r="A288" t="inlineStr">
        <is>
          <t>Enterprise Electronics Corporation</t>
        </is>
      </c>
      <c r="B288" t="inlineStr">
        <is>
          <t>IT Support Specialist</t>
        </is>
      </c>
      <c r="C288" t="inlineStr">
        <is>
          <t>applied</t>
        </is>
      </c>
      <c r="D288" t="inlineStr">
        <is>
          <t>Handshake (auto-submission, reconciled 2026-09-05)</t>
        </is>
      </c>
      <c r="E288" t="inlineStr">
        <is>
          <t>2026-05-27</t>
        </is>
      </c>
      <c r="F288" t="inlineStr">
        <is>
          <t>2026-05-27</t>
        </is>
      </c>
    </row>
    <row r="289">
      <c r="A289" t="inlineStr">
        <is>
          <t>Applied Research Associates, Inc. (ARA)</t>
        </is>
      </c>
      <c r="B289" t="inlineStr">
        <is>
          <t>Security Specialist – Program Security Officer</t>
        </is>
      </c>
      <c r="C289" t="inlineStr">
        <is>
          <t>applied</t>
        </is>
      </c>
      <c r="D289" t="inlineStr">
        <is>
          <t>Handshake (auto-submission, reconciled 2026-09-05)</t>
        </is>
      </c>
      <c r="E289" t="inlineStr">
        <is>
          <t>2026-05-27</t>
        </is>
      </c>
      <c r="F289" t="inlineStr">
        <is>
          <t>2026-05-27</t>
        </is>
      </c>
    </row>
    <row r="290">
      <c r="A290" t="inlineStr">
        <is>
          <t>Command Holding</t>
        </is>
      </c>
      <c r="B290" t="inlineStr">
        <is>
          <t>Junior Program Analyst</t>
        </is>
      </c>
      <c r="C290" t="inlineStr">
        <is>
          <t>applied</t>
        </is>
      </c>
      <c r="D290" t="inlineStr">
        <is>
          <t>Handshake (auto-submission, reconciled 2026-09-05)</t>
        </is>
      </c>
      <c r="E290" t="inlineStr">
        <is>
          <t>2026-05-25</t>
        </is>
      </c>
      <c r="F290" t="inlineStr">
        <is>
          <t>2026-05-25</t>
        </is>
      </c>
    </row>
    <row r="291">
      <c r="A291" t="inlineStr">
        <is>
          <t>Knox</t>
        </is>
      </c>
      <c r="B291" t="inlineStr">
        <is>
          <t>Junior IT Administrator</t>
        </is>
      </c>
      <c r="C291" t="inlineStr">
        <is>
          <t>applied</t>
        </is>
      </c>
      <c r="D291" t="inlineStr">
        <is>
          <t>Handshake (auto-submission, reconciled 2026-09-05)</t>
        </is>
      </c>
      <c r="E291" t="inlineStr">
        <is>
          <t>2026-05-25</t>
        </is>
      </c>
      <c r="F291" t="inlineStr">
        <is>
          <t>2026-05-25</t>
        </is>
      </c>
    </row>
    <row r="292">
      <c r="A292" t="inlineStr">
        <is>
          <t>Goodwill Legacy Group</t>
        </is>
      </c>
      <c r="B292" t="inlineStr">
        <is>
          <t>IT Support Specialist</t>
        </is>
      </c>
      <c r="C292" t="inlineStr">
        <is>
          <t>applied</t>
        </is>
      </c>
      <c r="D292" t="inlineStr">
        <is>
          <t>Handshake (auto-submission, reconciled 2026-09-05)</t>
        </is>
      </c>
      <c r="E292" t="inlineStr">
        <is>
          <t>2026-05-19</t>
        </is>
      </c>
      <c r="F292" t="inlineStr">
        <is>
          <t>2026-05-19</t>
        </is>
      </c>
    </row>
    <row r="293">
      <c r="A293" t="inlineStr">
        <is>
          <t>B&amp;M Consulting Group, Inc.</t>
        </is>
      </c>
      <c r="B293" t="inlineStr">
        <is>
          <t>Entry-Level Cybersecurity Engineer</t>
        </is>
      </c>
      <c r="C293" t="inlineStr">
        <is>
          <t>applied</t>
        </is>
      </c>
      <c r="D293" t="inlineStr">
        <is>
          <t>Handshake (auto-submission, reconciled 2026-09-05)</t>
        </is>
      </c>
      <c r="E293" t="inlineStr">
        <is>
          <t>2026-05-19</t>
        </is>
      </c>
      <c r="F293" t="inlineStr">
        <is>
          <t>2026-05-19</t>
        </is>
      </c>
    </row>
    <row r="294">
      <c r="A294" t="inlineStr">
        <is>
          <t>Nan Ya Plastics Corporation, America</t>
        </is>
      </c>
      <c r="B294" t="inlineStr">
        <is>
          <t>Computer Systems Analyst</t>
        </is>
      </c>
      <c r="C294" t="inlineStr">
        <is>
          <t>applied</t>
        </is>
      </c>
      <c r="D294" t="inlineStr">
        <is>
          <t>Handshake (auto-submission, reconciled 2026-09-05)</t>
        </is>
      </c>
      <c r="E294" t="inlineStr">
        <is>
          <t>2026-05-19</t>
        </is>
      </c>
      <c r="F294" t="inlineStr">
        <is>
          <t>2026-05-19</t>
        </is>
      </c>
    </row>
    <row r="295">
      <c r="A295" t="inlineStr">
        <is>
          <t>27 Virtual</t>
        </is>
      </c>
      <c r="B295" t="inlineStr">
        <is>
          <t>Junior IT Specialist</t>
        </is>
      </c>
      <c r="C295" t="inlineStr">
        <is>
          <t>rejected</t>
        </is>
      </c>
      <c r="D295" t="inlineStr">
        <is>
          <t>Handshake (auto-submission, reconciled 2026-09-05)</t>
        </is>
      </c>
      <c r="E295" t="inlineStr">
        <is>
          <t>2026-05-19</t>
        </is>
      </c>
    </row>
    <row r="296">
      <c r="A296" t="inlineStr">
        <is>
          <t>Applied Research Associates, Inc. (ARA)</t>
        </is>
      </c>
      <c r="B296" t="inlineStr">
        <is>
          <t>Tier 1 Cloud Support</t>
        </is>
      </c>
      <c r="C296" t="inlineStr">
        <is>
          <t>applied</t>
        </is>
      </c>
      <c r="D296" t="inlineStr">
        <is>
          <t>Handshake (auto-submission, reconciled 2026-09-05)</t>
        </is>
      </c>
      <c r="E296" t="inlineStr">
        <is>
          <t>2026-05-16</t>
        </is>
      </c>
      <c r="F296" t="inlineStr">
        <is>
          <t>2026-05-16</t>
        </is>
      </c>
    </row>
    <row r="297">
      <c r="A297" t="inlineStr">
        <is>
          <t>Amazon</t>
        </is>
      </c>
      <c r="B297" t="inlineStr">
        <is>
          <t>2026 Fall Quantum Applied Science Internship, Center for Quantum Computing</t>
        </is>
      </c>
      <c r="C297" t="inlineStr">
        <is>
          <t>applied</t>
        </is>
      </c>
      <c r="D297" t="inlineStr">
        <is>
          <t>Handshake (auto-submission, reconciled 2026-09-05)</t>
        </is>
      </c>
      <c r="E297" t="inlineStr">
        <is>
          <t>2026-05-16</t>
        </is>
      </c>
      <c r="F297" t="inlineStr">
        <is>
          <t>2026-05-16</t>
        </is>
      </c>
    </row>
    <row r="298">
      <c r="A298" t="inlineStr">
        <is>
          <t>Northfield Mount Hermon</t>
        </is>
      </c>
      <c r="B298" t="inlineStr">
        <is>
          <t>Director of Information Technology</t>
        </is>
      </c>
      <c r="C298" t="inlineStr">
        <is>
          <t>applied</t>
        </is>
      </c>
      <c r="D298" t="inlineStr">
        <is>
          <t>Handshake (auto-submission, reconciled 2026-09-05)</t>
        </is>
      </c>
      <c r="E298" t="inlineStr">
        <is>
          <t>2026-05-14</t>
        </is>
      </c>
      <c r="F298" t="inlineStr">
        <is>
          <t>2026-05-14</t>
        </is>
      </c>
    </row>
    <row r="299">
      <c r="A299" t="inlineStr">
        <is>
          <t>University of Alaska Careers</t>
        </is>
      </c>
      <c r="B299" t="inlineStr">
        <is>
          <t>Security Specialist - UARC</t>
        </is>
      </c>
      <c r="C299" t="inlineStr">
        <is>
          <t>applied</t>
        </is>
      </c>
      <c r="D299" t="inlineStr">
        <is>
          <t>Handshake (auto-submission, reconciled 2026-09-05)</t>
        </is>
      </c>
      <c r="E299" t="inlineStr">
        <is>
          <t>2026-05-13</t>
        </is>
      </c>
      <c r="F299" t="inlineStr">
        <is>
          <t>2026-05-13</t>
        </is>
      </c>
    </row>
    <row r="300">
      <c r="A300" t="inlineStr">
        <is>
          <t>Kitty Hawk Technologies</t>
        </is>
      </c>
      <c r="B300" t="inlineStr">
        <is>
          <t>Linux Systems Administrator</t>
        </is>
      </c>
      <c r="C300" t="inlineStr">
        <is>
          <t>applied</t>
        </is>
      </c>
      <c r="D300" t="inlineStr">
        <is>
          <t>Handshake (auto-submission, reconciled 2026-09-05)</t>
        </is>
      </c>
      <c r="E300" t="inlineStr">
        <is>
          <t>2026-05-13</t>
        </is>
      </c>
      <c r="F300" t="inlineStr">
        <is>
          <t>2026-05-13</t>
        </is>
      </c>
    </row>
    <row r="301">
      <c r="A301" t="inlineStr">
        <is>
          <t>Schneider</t>
        </is>
      </c>
      <c r="B301" t="inlineStr">
        <is>
          <t>Security Specialist</t>
        </is>
      </c>
      <c r="C301" t="inlineStr">
        <is>
          <t>rejected</t>
        </is>
      </c>
      <c r="D301" t="inlineStr">
        <is>
          <t>Handshake (auto-submission, reconciled 2026-09-05)</t>
        </is>
      </c>
      <c r="E301" t="inlineStr">
        <is>
          <t>2026-05-13</t>
        </is>
      </c>
    </row>
    <row r="302">
      <c r="A302" t="inlineStr">
        <is>
          <t>Uber AI Solutions</t>
        </is>
      </c>
      <c r="B302" t="inlineStr">
        <is>
          <t>Freelance Opportunity: Cybersecurity AI Reviewer</t>
        </is>
      </c>
      <c r="C302" t="inlineStr">
        <is>
          <t>applied</t>
        </is>
      </c>
      <c r="D302" t="inlineStr">
        <is>
          <t>Handshake (auto-submission, reconciled 2026-09-05)</t>
        </is>
      </c>
      <c r="E302" t="inlineStr">
        <is>
          <t>2026-05-13</t>
        </is>
      </c>
      <c r="F302" t="inlineStr">
        <is>
          <t>2026-05-13</t>
        </is>
      </c>
    </row>
    <row r="303">
      <c r="A303" t="inlineStr">
        <is>
          <t>Golden Hire Consulting</t>
        </is>
      </c>
      <c r="B303" t="inlineStr">
        <is>
          <t>Cyber Security Specialist</t>
        </is>
      </c>
      <c r="C303" t="inlineStr">
        <is>
          <t>applied</t>
        </is>
      </c>
      <c r="D303" t="inlineStr">
        <is>
          <t>Handshake (auto-submission, reconciled 2026-09-05)</t>
        </is>
      </c>
      <c r="E303" t="inlineStr">
        <is>
          <t>2026-05-13</t>
        </is>
      </c>
      <c r="F303" t="inlineStr">
        <is>
          <t>2026-05-13</t>
        </is>
      </c>
    </row>
    <row r="304">
      <c r="A304" t="inlineStr">
        <is>
          <t>Partners In Health</t>
        </is>
      </c>
      <c r="B304" t="inlineStr">
        <is>
          <t>Cybersecurity System Administrator</t>
        </is>
      </c>
      <c r="C304" t="inlineStr">
        <is>
          <t>applied</t>
        </is>
      </c>
      <c r="D304" t="inlineStr">
        <is>
          <t>Handshake (auto-submission, reconciled 2026-09-05)</t>
        </is>
      </c>
      <c r="E304" t="inlineStr">
        <is>
          <t>2026-05-13</t>
        </is>
      </c>
      <c r="F304" t="inlineStr">
        <is>
          <t>2026-05-13</t>
        </is>
      </c>
    </row>
    <row r="305">
      <c r="A305" t="inlineStr">
        <is>
          <t>Google, Inc.</t>
        </is>
      </c>
      <c r="B305" t="inlineStr">
        <is>
          <t>Associate Security Analyst, Mandiant Threat Defense</t>
        </is>
      </c>
      <c r="C305" t="inlineStr">
        <is>
          <t>applied</t>
        </is>
      </c>
      <c r="D305" t="inlineStr">
        <is>
          <t>Handshake (auto-submission, reconciled 2026-09-05)</t>
        </is>
      </c>
      <c r="E305" t="inlineStr">
        <is>
          <t>2026-05-13</t>
        </is>
      </c>
      <c r="F305" t="inlineStr">
        <is>
          <t>2026-05-13</t>
        </is>
      </c>
    </row>
    <row r="306">
      <c r="A306" t="inlineStr">
        <is>
          <t>CMR Institute</t>
        </is>
      </c>
      <c r="B306" t="inlineStr">
        <is>
          <t>Learning Technology and Systems Specialist</t>
        </is>
      </c>
      <c r="C306" t="inlineStr">
        <is>
          <t>rejected</t>
        </is>
      </c>
      <c r="D306" t="inlineStr">
        <is>
          <t>Handshake (auto-submission, reconciled 2026-09-05)</t>
        </is>
      </c>
      <c r="E306" t="inlineStr">
        <is>
          <t>2026-05-13</t>
        </is>
      </c>
    </row>
    <row r="307">
      <c r="A307" t="inlineStr">
        <is>
          <t>Com-Sec</t>
        </is>
      </c>
      <c r="B307" t="inlineStr">
        <is>
          <t>IT Support Specialist</t>
        </is>
      </c>
      <c r="C307" t="inlineStr">
        <is>
          <t>applied</t>
        </is>
      </c>
      <c r="D307" t="inlineStr">
        <is>
          <t>Handshake (auto-submission, reconciled 2026-09-05)</t>
        </is>
      </c>
      <c r="E307" t="inlineStr">
        <is>
          <t>2026-05-12</t>
        </is>
      </c>
      <c r="F307" t="inlineStr">
        <is>
          <t>2026-05-12</t>
        </is>
      </c>
    </row>
    <row r="308">
      <c r="A308" t="inlineStr">
        <is>
          <t>Applied Research Associates, Inc. (ARA)</t>
        </is>
      </c>
      <c r="B308" t="inlineStr">
        <is>
          <t>Staff Open-Source Collector</t>
        </is>
      </c>
      <c r="C308" t="inlineStr">
        <is>
          <t>applied</t>
        </is>
      </c>
      <c r="D308" t="inlineStr">
        <is>
          <t>Handshake (auto-submission, reconciled 2026-09-05)</t>
        </is>
      </c>
      <c r="E308" t="inlineStr">
        <is>
          <t>2026-05-06</t>
        </is>
      </c>
      <c r="F308" t="inlineStr">
        <is>
          <t>2026-05-06</t>
        </is>
      </c>
    </row>
    <row r="309">
      <c r="A309" t="inlineStr">
        <is>
          <t>Red5 Security</t>
        </is>
      </c>
      <c r="B309" t="inlineStr">
        <is>
          <t>Open Source Analyst (Entry Level)</t>
        </is>
      </c>
      <c r="C309" t="inlineStr">
        <is>
          <t>applied</t>
        </is>
      </c>
      <c r="D309" t="inlineStr">
        <is>
          <t>Handshake (auto-submission, reconciled 2026-09-05)</t>
        </is>
      </c>
      <c r="E309" t="inlineStr">
        <is>
          <t>2026-05-06</t>
        </is>
      </c>
      <c r="F309" t="inlineStr">
        <is>
          <t>2026-05-06</t>
        </is>
      </c>
    </row>
    <row r="310">
      <c r="A310" t="inlineStr">
        <is>
          <t>State of Michigan Department of Technology, Management, and Budget</t>
        </is>
      </c>
      <c r="B310" t="inlineStr">
        <is>
          <t>Information Technology Specialist 14</t>
        </is>
      </c>
      <c r="C310" t="inlineStr">
        <is>
          <t>applied</t>
        </is>
      </c>
      <c r="D310" t="inlineStr">
        <is>
          <t>Handshake (auto-submission, reconciled 2026-09-05)</t>
        </is>
      </c>
      <c r="E310" t="inlineStr">
        <is>
          <t>2026-05-04</t>
        </is>
      </c>
      <c r="F310" t="inlineStr">
        <is>
          <t>2026-05-04</t>
        </is>
      </c>
    </row>
    <row r="311">
      <c r="A311" t="inlineStr">
        <is>
          <t>NYU Langone Health</t>
        </is>
      </c>
      <c r="B311" t="inlineStr">
        <is>
          <t>Security Officer</t>
        </is>
      </c>
      <c r="C311" t="inlineStr">
        <is>
          <t>applied</t>
        </is>
      </c>
      <c r="D311" t="inlineStr">
        <is>
          <t>Handshake (auto-submission, reconciled 2026-09-05)</t>
        </is>
      </c>
      <c r="E311" t="inlineStr">
        <is>
          <t>2026-05-02</t>
        </is>
      </c>
      <c r="F311" t="inlineStr">
        <is>
          <t>2026-05-02</t>
        </is>
      </c>
    </row>
    <row r="312">
      <c r="A312" t="inlineStr">
        <is>
          <t>Command Holding</t>
        </is>
      </c>
      <c r="B312" t="inlineStr">
        <is>
          <t>IT Service Desk Analyst</t>
        </is>
      </c>
      <c r="C312" t="inlineStr">
        <is>
          <t>applied</t>
        </is>
      </c>
      <c r="D312" t="inlineStr">
        <is>
          <t>Handshake (auto-submission, reconciled 2026-09-05)</t>
        </is>
      </c>
      <c r="E312" t="inlineStr">
        <is>
          <t>2026-05-02</t>
        </is>
      </c>
      <c r="F312" t="inlineStr">
        <is>
          <t>2026-05-02</t>
        </is>
      </c>
    </row>
    <row r="313">
      <c r="A313" t="inlineStr">
        <is>
          <t>Hexaware Technologies</t>
        </is>
      </c>
      <c r="B313" t="inlineStr">
        <is>
          <t>AWS Cloud Intern</t>
        </is>
      </c>
      <c r="C313" t="inlineStr">
        <is>
          <t>applied</t>
        </is>
      </c>
      <c r="D313" t="inlineStr">
        <is>
          <t>Handshake (auto-submission, reconciled 2026-09-05)</t>
        </is>
      </c>
      <c r="E313" t="inlineStr">
        <is>
          <t>2026-05-02</t>
        </is>
      </c>
      <c r="F313" t="inlineStr">
        <is>
          <t>2026-05-02</t>
        </is>
      </c>
    </row>
    <row r="314">
      <c r="A314" t="inlineStr">
        <is>
          <t>B&amp;M Consulting Group, Inc.</t>
        </is>
      </c>
      <c r="B314" t="inlineStr">
        <is>
          <t>Mid-Level Cybersecurity Analyst</t>
        </is>
      </c>
      <c r="C314" t="inlineStr">
        <is>
          <t>applied</t>
        </is>
      </c>
      <c r="D314" t="inlineStr">
        <is>
          <t>Handshake (auto-submission, reconciled 2026-09-05)</t>
        </is>
      </c>
      <c r="E314" t="inlineStr">
        <is>
          <t>2026-04-30</t>
        </is>
      </c>
      <c r="F314" t="inlineStr">
        <is>
          <t>2026-04-30</t>
        </is>
      </c>
    </row>
    <row r="315">
      <c r="A315" t="inlineStr">
        <is>
          <t>Sain Technologies</t>
        </is>
      </c>
      <c r="B315" t="inlineStr">
        <is>
          <t>Cybersecurity Engineer</t>
        </is>
      </c>
      <c r="C315" t="inlineStr">
        <is>
          <t>applied</t>
        </is>
      </c>
      <c r="D315" t="inlineStr">
        <is>
          <t>Handshake (auto-submission, reconciled 2026-09-05)</t>
        </is>
      </c>
      <c r="E315" t="inlineStr">
        <is>
          <t>2026-04-30</t>
        </is>
      </c>
      <c r="F315" t="inlineStr">
        <is>
          <t>2026-04-30</t>
        </is>
      </c>
    </row>
    <row r="316">
      <c r="A316" t="inlineStr">
        <is>
          <t>Hocking College</t>
        </is>
      </c>
      <c r="B316" t="inlineStr">
        <is>
          <t>Cybersecurity and Network Systems Instructor</t>
        </is>
      </c>
      <c r="C316" t="inlineStr">
        <is>
          <t>applied</t>
        </is>
      </c>
      <c r="D316" t="inlineStr">
        <is>
          <t>Handshake (auto-submission, reconciled 2026-09-05)</t>
        </is>
      </c>
      <c r="E316" t="inlineStr">
        <is>
          <t>2026-04-30</t>
        </is>
      </c>
      <c r="F316" t="inlineStr">
        <is>
          <t>2026-04-30</t>
        </is>
      </c>
    </row>
    <row r="317">
      <c r="A317" t="inlineStr">
        <is>
          <t>KRS IT Consulting LLC</t>
        </is>
      </c>
      <c r="B317" t="inlineStr">
        <is>
          <t>Service Delivery Manager - IT</t>
        </is>
      </c>
      <c r="C317" t="inlineStr">
        <is>
          <t>applied</t>
        </is>
      </c>
      <c r="D317" t="inlineStr">
        <is>
          <t>Handshake (auto-submission, reconciled 2026-09-05)</t>
        </is>
      </c>
      <c r="E317" t="inlineStr">
        <is>
          <t>2026-04-30</t>
        </is>
      </c>
      <c r="F317" t="inlineStr">
        <is>
          <t>2026-04-30</t>
        </is>
      </c>
    </row>
    <row r="318">
      <c r="A318" t="inlineStr">
        <is>
          <t>Handshake AI</t>
        </is>
      </c>
      <c r="B318" t="inlineStr">
        <is>
          <t>Cybersecurity Expert</t>
        </is>
      </c>
      <c r="C318" t="inlineStr">
        <is>
          <t>applied</t>
        </is>
      </c>
      <c r="D318" t="inlineStr">
        <is>
          <t>Handshake (auto-submission, reconciled 2026-09-05)</t>
        </is>
      </c>
      <c r="E318" t="inlineStr">
        <is>
          <t>2026-04-30</t>
        </is>
      </c>
      <c r="F318" t="inlineStr">
        <is>
          <t>2026-04-30</t>
        </is>
      </c>
    </row>
    <row r="319">
      <c r="A319" t="inlineStr">
        <is>
          <t>Exponent</t>
        </is>
      </c>
      <c r="B319" t="inlineStr">
        <is>
          <t>Applied Cryptography &amp; Cybersecurity Software Engineer – Post Quantum Focus (M.S. or Ph.D.)</t>
        </is>
      </c>
      <c r="C319" t="inlineStr">
        <is>
          <t>applied</t>
        </is>
      </c>
      <c r="D319" t="inlineStr">
        <is>
          <t>Handshake (auto-submission, reconciled 2026-09-05)</t>
        </is>
      </c>
      <c r="E319" t="inlineStr">
        <is>
          <t>2026-04-30</t>
        </is>
      </c>
      <c r="F319" t="inlineStr">
        <is>
          <t>2026-04-30</t>
        </is>
      </c>
    </row>
    <row r="320">
      <c r="A320" t="inlineStr">
        <is>
          <t>Salus GRC</t>
        </is>
      </c>
      <c r="B320" t="inlineStr">
        <is>
          <t>Cybersecurity Analyst (Entry-Level / New Grad)</t>
        </is>
      </c>
      <c r="C320" t="inlineStr">
        <is>
          <t>rejected</t>
        </is>
      </c>
      <c r="D320" t="inlineStr">
        <is>
          <t>Handshake (auto-submission, reconciled 2026-09-05)</t>
        </is>
      </c>
      <c r="E320" t="inlineStr">
        <is>
          <t>2026-04-30</t>
        </is>
      </c>
    </row>
    <row r="321">
      <c r="A321" t="inlineStr">
        <is>
          <t>Storage Asset Management</t>
        </is>
      </c>
      <c r="B321" t="inlineStr">
        <is>
          <t>Director of Risk Management</t>
        </is>
      </c>
      <c r="C321" t="inlineStr">
        <is>
          <t>applied</t>
        </is>
      </c>
      <c r="D321" t="inlineStr">
        <is>
          <t>Handshake (auto-submission, reconciled 2026-09-05)</t>
        </is>
      </c>
      <c r="E321" t="inlineStr">
        <is>
          <t>2026-04-30</t>
        </is>
      </c>
      <c r="F321" t="inlineStr">
        <is>
          <t>2026-04-30</t>
        </is>
      </c>
    </row>
    <row r="322">
      <c r="A322" t="inlineStr">
        <is>
          <t>Sequretek</t>
        </is>
      </c>
      <c r="B322" t="inlineStr">
        <is>
          <t>Sales Manager - Cybersecurity</t>
        </is>
      </c>
      <c r="C322" t="inlineStr">
        <is>
          <t>rejected</t>
        </is>
      </c>
      <c r="D322" t="inlineStr">
        <is>
          <t>Handshake (auto-submission, reconciled 2026-09-05)</t>
        </is>
      </c>
      <c r="E322" t="inlineStr">
        <is>
          <t>2026-04-30</t>
        </is>
      </c>
    </row>
    <row r="323">
      <c r="A323" t="inlineStr">
        <is>
          <t>NiSource, Inc.</t>
        </is>
      </c>
      <c r="B323" t="inlineStr">
        <is>
          <t>(#R00942082) Sr Cybersecurity Engineer</t>
        </is>
      </c>
      <c r="C323" t="inlineStr">
        <is>
          <t>applied</t>
        </is>
      </c>
      <c r="D323" t="inlineStr">
        <is>
          <t>Handshake (auto-submission, reconciled 2026-09-05)</t>
        </is>
      </c>
      <c r="E323" t="inlineStr">
        <is>
          <t>2026-04-30</t>
        </is>
      </c>
      <c r="F323" t="inlineStr">
        <is>
          <t>2026-04-30</t>
        </is>
      </c>
    </row>
    <row r="324">
      <c r="A324" t="inlineStr">
        <is>
          <t>Fairfax County Government</t>
        </is>
      </c>
      <c r="B324" t="inlineStr">
        <is>
          <t>Information Security Analyst II</t>
        </is>
      </c>
      <c r="C324" t="inlineStr">
        <is>
          <t>applied</t>
        </is>
      </c>
      <c r="D324" t="inlineStr">
        <is>
          <t>Handshake (auto-submission, reconciled 2026-09-05)</t>
        </is>
      </c>
      <c r="E324" t="inlineStr">
        <is>
          <t>2026-04-30</t>
        </is>
      </c>
      <c r="F324" t="inlineStr">
        <is>
          <t>2026-04-30</t>
        </is>
      </c>
    </row>
    <row r="325">
      <c r="A325" t="inlineStr">
        <is>
          <t>Schneider</t>
        </is>
      </c>
      <c r="B325" t="inlineStr">
        <is>
          <t>Director of Security</t>
        </is>
      </c>
      <c r="C325" t="inlineStr">
        <is>
          <t>applied</t>
        </is>
      </c>
      <c r="D325" t="inlineStr">
        <is>
          <t>Handshake (auto-submission, reconciled 2026-09-05)</t>
        </is>
      </c>
      <c r="E325" t="inlineStr">
        <is>
          <t>2026-04-30</t>
        </is>
      </c>
      <c r="F325" t="inlineStr">
        <is>
          <t>2026-04-30</t>
        </is>
      </c>
    </row>
    <row r="326">
      <c r="A326" t="inlineStr">
        <is>
          <t>Kforce, Inc.</t>
        </is>
      </c>
      <c r="B326" t="inlineStr">
        <is>
          <t>IT Support</t>
        </is>
      </c>
      <c r="C326" t="inlineStr">
        <is>
          <t>applied</t>
        </is>
      </c>
      <c r="D326" t="inlineStr">
        <is>
          <t>Handshake (auto-submission, reconciled 2026-09-05)</t>
        </is>
      </c>
      <c r="E326" t="inlineStr">
        <is>
          <t>2026-04-30</t>
        </is>
      </c>
      <c r="F326" t="inlineStr">
        <is>
          <t>2026-04-30</t>
        </is>
      </c>
    </row>
    <row r="327">
      <c r="A327" t="inlineStr">
        <is>
          <t>NGAI HOSTING</t>
        </is>
      </c>
      <c r="B327" t="inlineStr">
        <is>
          <t>Cybersecurity &amp; Infrastructure Fellowship (Founder Track) – Secure a Scalable System</t>
        </is>
      </c>
      <c r="C327" t="inlineStr">
        <is>
          <t>applied</t>
        </is>
      </c>
      <c r="D327" t="inlineStr">
        <is>
          <t>Handshake (auto-submission, reconciled 2026-09-05)</t>
        </is>
      </c>
      <c r="E327" t="inlineStr">
        <is>
          <t>2026-04-30</t>
        </is>
      </c>
      <c r="F327" t="inlineStr">
        <is>
          <t>2026-04-30</t>
        </is>
      </c>
    </row>
    <row r="328">
      <c r="A328" t="inlineStr">
        <is>
          <t>SGS Technologies</t>
        </is>
      </c>
      <c r="B328" t="inlineStr">
        <is>
          <t>Security Analyst</t>
        </is>
      </c>
      <c r="C328" t="inlineStr">
        <is>
          <t>applied</t>
        </is>
      </c>
      <c r="D328" t="inlineStr">
        <is>
          <t>Handshake (auto-submission, reconciled 2026-09-05)</t>
        </is>
      </c>
      <c r="E328" t="inlineStr">
        <is>
          <t>2026-04-30</t>
        </is>
      </c>
      <c r="F328" t="inlineStr">
        <is>
          <t>2026-04-30</t>
        </is>
      </c>
    </row>
    <row r="329">
      <c r="A329" t="inlineStr">
        <is>
          <t>Midco</t>
        </is>
      </c>
      <c r="B329" t="inlineStr">
        <is>
          <t>Information Security Analyst I</t>
        </is>
      </c>
      <c r="C329" t="inlineStr">
        <is>
          <t>applied</t>
        </is>
      </c>
      <c r="D329" t="inlineStr">
        <is>
          <t>Handshake (auto-submission, reconciled 2026-09-05)</t>
        </is>
      </c>
      <c r="E329" t="inlineStr">
        <is>
          <t>2026-04-30</t>
        </is>
      </c>
      <c r="F329" t="inlineStr">
        <is>
          <t>2026-04-30</t>
        </is>
      </c>
    </row>
    <row r="330">
      <c r="A330" t="inlineStr">
        <is>
          <t>Bethel University</t>
        </is>
      </c>
      <c r="B330" t="inlineStr">
        <is>
          <t>Manager of Security Operations</t>
        </is>
      </c>
      <c r="C330" t="inlineStr">
        <is>
          <t>applied</t>
        </is>
      </c>
      <c r="D330" t="inlineStr">
        <is>
          <t>Handshake (auto-submission, reconciled 2026-09-05)</t>
        </is>
      </c>
      <c r="E330" t="inlineStr">
        <is>
          <t>2026-04-30</t>
        </is>
      </c>
      <c r="F330" t="inlineStr">
        <is>
          <t>2026-04-30</t>
        </is>
      </c>
    </row>
    <row r="331">
      <c r="A331" t="inlineStr">
        <is>
          <t>Albany County Government</t>
        </is>
      </c>
      <c r="B331" t="inlineStr">
        <is>
          <t>Systems Administrator</t>
        </is>
      </c>
      <c r="C331" t="inlineStr">
        <is>
          <t>applied</t>
        </is>
      </c>
      <c r="D331" t="inlineStr">
        <is>
          <t>Handshake (auto-submission, reconciled 2026-09-05)</t>
        </is>
      </c>
      <c r="E331" t="inlineStr">
        <is>
          <t>2026-04-29</t>
        </is>
      </c>
      <c r="F331" t="inlineStr">
        <is>
          <t>2026-04-29</t>
        </is>
      </c>
    </row>
    <row r="332">
      <c r="A332" t="inlineStr">
        <is>
          <t>Blue Ridge Mountain EMC</t>
        </is>
      </c>
      <c r="B332" t="inlineStr">
        <is>
          <t>System Administrator</t>
        </is>
      </c>
      <c r="C332" t="inlineStr">
        <is>
          <t>applied</t>
        </is>
      </c>
      <c r="D332" t="inlineStr">
        <is>
          <t>Handshake (auto-submission, reconciled 2026-09-05)</t>
        </is>
      </c>
      <c r="E332" t="inlineStr">
        <is>
          <t>2026-04-29</t>
        </is>
      </c>
      <c r="F332" t="inlineStr">
        <is>
          <t>2026-04-29</t>
        </is>
      </c>
    </row>
    <row r="333">
      <c r="A333" t="inlineStr">
        <is>
          <t>NukuDo</t>
        </is>
      </c>
      <c r="B333" t="inlineStr">
        <is>
          <t>Cybersecurity Specialist</t>
        </is>
      </c>
      <c r="C333" t="inlineStr">
        <is>
          <t>applied</t>
        </is>
      </c>
      <c r="D333" t="inlineStr">
        <is>
          <t>Handshake (auto-submission, reconciled 2026-09-05)</t>
        </is>
      </c>
      <c r="E333" t="inlineStr">
        <is>
          <t>2026-04-29</t>
        </is>
      </c>
      <c r="F333" t="inlineStr">
        <is>
          <t>2026-04-29</t>
        </is>
      </c>
    </row>
    <row r="334">
      <c r="A334" t="inlineStr">
        <is>
          <t>Johns Hopkins University Applied Physics Laboratory</t>
        </is>
      </c>
      <c r="B334" t="inlineStr">
        <is>
          <t>2026 PhD Graduate - Cyber Resilience of Military Systems</t>
        </is>
      </c>
      <c r="C334" t="inlineStr">
        <is>
          <t>applied</t>
        </is>
      </c>
      <c r="D334" t="inlineStr">
        <is>
          <t>Handshake (auto-submission, reconciled 2026-09-05)</t>
        </is>
      </c>
      <c r="E334" t="inlineStr">
        <is>
          <t>2026-04-29</t>
        </is>
      </c>
      <c r="F334" t="inlineStr">
        <is>
          <t>2026-04-29</t>
        </is>
      </c>
    </row>
    <row r="335">
      <c r="A335" t="inlineStr">
        <is>
          <t>Strategic Management Services, LLC</t>
        </is>
      </c>
      <c r="B335" t="inlineStr">
        <is>
          <t>IT Systems Administrator</t>
        </is>
      </c>
      <c r="C335" t="inlineStr">
        <is>
          <t>applied</t>
        </is>
      </c>
      <c r="D335" t="inlineStr">
        <is>
          <t>Handshake (auto-submission, reconciled 2026-09-05)</t>
        </is>
      </c>
      <c r="E335" t="inlineStr">
        <is>
          <t>2026-04-29</t>
        </is>
      </c>
      <c r="F335" t="inlineStr">
        <is>
          <t>2026-04-29</t>
        </is>
      </c>
    </row>
    <row r="336">
      <c r="A336" t="inlineStr">
        <is>
          <t>Digital Pocket LLC</t>
        </is>
      </c>
      <c r="B336" t="inlineStr">
        <is>
          <t>Systems Administrator</t>
        </is>
      </c>
      <c r="C336" t="inlineStr">
        <is>
          <t>applied</t>
        </is>
      </c>
      <c r="D336" t="inlineStr">
        <is>
          <t>Handshake (auto-submission, reconciled 2026-09-05)</t>
        </is>
      </c>
      <c r="E336" t="inlineStr">
        <is>
          <t>2026-04-29</t>
        </is>
      </c>
      <c r="F336" t="inlineStr">
        <is>
          <t>2026-04-29</t>
        </is>
      </c>
    </row>
    <row r="337">
      <c r="A337" t="inlineStr">
        <is>
          <t>B&amp;M Consulting Group, Inc.</t>
        </is>
      </c>
      <c r="B337" t="inlineStr">
        <is>
          <t>Entry-Level Cybersecurity Analyst</t>
        </is>
      </c>
      <c r="C337" t="inlineStr">
        <is>
          <t>applied</t>
        </is>
      </c>
      <c r="D337" t="inlineStr">
        <is>
          <t>Handshake (auto-submission, reconciled 2026-09-05)</t>
        </is>
      </c>
      <c r="E337" t="inlineStr">
        <is>
          <t>2026-04-28</t>
        </is>
      </c>
      <c r="F337" t="inlineStr">
        <is>
          <t>2026-04-28</t>
        </is>
      </c>
    </row>
    <row r="338">
      <c r="A338" t="inlineStr">
        <is>
          <t>Southeast Community College</t>
        </is>
      </c>
      <c r="B338" t="inlineStr">
        <is>
          <t>Network Security Engineer - FT</t>
        </is>
      </c>
      <c r="C338" t="inlineStr">
        <is>
          <t>applied</t>
        </is>
      </c>
      <c r="D338" t="inlineStr">
        <is>
          <t>Handshake (auto-submission, reconciled 2026-09-05)</t>
        </is>
      </c>
      <c r="E338" t="inlineStr">
        <is>
          <t>2026-04-28</t>
        </is>
      </c>
      <c r="F338" t="inlineStr">
        <is>
          <t>2026-04-28</t>
        </is>
      </c>
    </row>
    <row r="339">
      <c r="A339" t="inlineStr">
        <is>
          <t>Applied Research Associates, Inc. (ARA)</t>
        </is>
      </c>
      <c r="B339" t="inlineStr">
        <is>
          <t>Information System Security Engineer Edge Solutions- Occasional</t>
        </is>
      </c>
      <c r="C339" t="inlineStr">
        <is>
          <t>applied</t>
        </is>
      </c>
      <c r="D339" t="inlineStr">
        <is>
          <t>Handshake (auto-submission, reconciled 2026-09-05)</t>
        </is>
      </c>
      <c r="E339" t="inlineStr">
        <is>
          <t>2026-04-28</t>
        </is>
      </c>
      <c r="F339" t="inlineStr">
        <is>
          <t>2026-04-28</t>
        </is>
      </c>
    </row>
    <row r="340">
      <c r="A340" t="inlineStr">
        <is>
          <t>Vertek Corporation</t>
        </is>
      </c>
      <c r="B340" t="inlineStr">
        <is>
          <t>Security Engineer</t>
        </is>
      </c>
      <c r="C340" t="inlineStr">
        <is>
          <t>applied</t>
        </is>
      </c>
      <c r="D340" t="inlineStr">
        <is>
          <t>Handshake (auto-submission, reconciled 2026-09-05)</t>
        </is>
      </c>
      <c r="E340" t="inlineStr">
        <is>
          <t>2026-04-25</t>
        </is>
      </c>
      <c r="F340" t="inlineStr">
        <is>
          <t>2026-04-25</t>
        </is>
      </c>
    </row>
    <row r="341">
      <c r="A341" t="inlineStr">
        <is>
          <t>Onset Solutions</t>
        </is>
      </c>
      <c r="B341" t="inlineStr">
        <is>
          <t>Technical Services Specialist</t>
        </is>
      </c>
      <c r="C341" t="inlineStr">
        <is>
          <t>applied</t>
        </is>
      </c>
      <c r="D341" t="inlineStr">
        <is>
          <t>Handshake (auto-submission, reconciled 2026-09-05)</t>
        </is>
      </c>
      <c r="E341" t="inlineStr">
        <is>
          <t>2026-04-25</t>
        </is>
      </c>
      <c r="F341" t="inlineStr">
        <is>
          <t>2026-04-25</t>
        </is>
      </c>
    </row>
    <row r="342">
      <c r="A342" t="inlineStr">
        <is>
          <t>Professional Technology Integration, Inc.</t>
        </is>
      </c>
      <c r="B342" t="inlineStr">
        <is>
          <t>IT Data Governance Analyst</t>
        </is>
      </c>
      <c r="C342" t="inlineStr">
        <is>
          <t>applied</t>
        </is>
      </c>
      <c r="D342" t="inlineStr">
        <is>
          <t>Handshake (auto-submission, reconciled 2026-09-05)</t>
        </is>
      </c>
      <c r="E342" t="inlineStr">
        <is>
          <t>2026-04-23</t>
        </is>
      </c>
      <c r="F342" t="inlineStr">
        <is>
          <t>2026-04-23</t>
        </is>
      </c>
    </row>
    <row r="343">
      <c r="A343" t="inlineStr">
        <is>
          <t>NYU Langone Health</t>
        </is>
      </c>
      <c r="B343" t="inlineStr">
        <is>
          <t>Sr. Network Security Engineer</t>
        </is>
      </c>
      <c r="C343" t="inlineStr">
        <is>
          <t>applied</t>
        </is>
      </c>
      <c r="D343" t="inlineStr">
        <is>
          <t>Handshake (auto-submission, reconciled 2026-09-05)</t>
        </is>
      </c>
      <c r="E343" t="inlineStr">
        <is>
          <t>2026-04-21</t>
        </is>
      </c>
      <c r="F343" t="inlineStr">
        <is>
          <t>2026-04-21</t>
        </is>
      </c>
    </row>
    <row r="344">
      <c r="A344" t="inlineStr">
        <is>
          <t>Saalex Corporation</t>
        </is>
      </c>
      <c r="B344" t="inlineStr">
        <is>
          <t>Junior Systems Administrator</t>
        </is>
      </c>
      <c r="C344" t="inlineStr">
        <is>
          <t>applied</t>
        </is>
      </c>
      <c r="D344" t="inlineStr">
        <is>
          <t>Handshake (auto-submission, reconciled 2026-09-05)</t>
        </is>
      </c>
      <c r="E344" t="inlineStr">
        <is>
          <t>2026-04-19</t>
        </is>
      </c>
      <c r="F344" t="inlineStr">
        <is>
          <t>2026-04-19</t>
        </is>
      </c>
    </row>
    <row r="345">
      <c r="A345" t="inlineStr">
        <is>
          <t>Neurohire.ai</t>
        </is>
      </c>
      <c r="B345" t="inlineStr">
        <is>
          <t>Risk and Compliance Analyst</t>
        </is>
      </c>
      <c r="C345" t="inlineStr">
        <is>
          <t>applied</t>
        </is>
      </c>
      <c r="D345" t="inlineStr">
        <is>
          <t>Handshake (auto-submission, reconciled 2026-09-05)</t>
        </is>
      </c>
      <c r="E345" t="inlineStr">
        <is>
          <t>2026-04-13</t>
        </is>
      </c>
      <c r="F345" t="inlineStr">
        <is>
          <t>2026-04-13</t>
        </is>
      </c>
    </row>
    <row r="346">
      <c r="A346" t="inlineStr">
        <is>
          <t>Family Service of Rhode Island</t>
        </is>
      </c>
      <c r="B346" t="inlineStr">
        <is>
          <t>Information Technology Specialist</t>
        </is>
      </c>
      <c r="C346" t="inlineStr">
        <is>
          <t>applied</t>
        </is>
      </c>
      <c r="D346" t="inlineStr">
        <is>
          <t>Handshake (auto-submission, reconciled 2026-09-05)</t>
        </is>
      </c>
      <c r="E346" t="inlineStr">
        <is>
          <t>2026-04-07</t>
        </is>
      </c>
      <c r="F346" t="inlineStr">
        <is>
          <t>2026-04-07</t>
        </is>
      </c>
    </row>
    <row r="347">
      <c r="A347" t="inlineStr">
        <is>
          <t>U.S. Coast Guard</t>
        </is>
      </c>
      <c r="B347" t="inlineStr">
        <is>
          <t>Coast Guard Enlisted Careers</t>
        </is>
      </c>
      <c r="C347" t="inlineStr">
        <is>
          <t>applied</t>
        </is>
      </c>
      <c r="D347" t="inlineStr">
        <is>
          <t>Handshake (auto-submission, reconciled 2026-09-05)</t>
        </is>
      </c>
      <c r="E347" t="inlineStr">
        <is>
          <t>2026-04-07</t>
        </is>
      </c>
      <c r="F347" t="inlineStr">
        <is>
          <t>2026-04-07</t>
        </is>
      </c>
    </row>
    <row r="348">
      <c r="A348" t="inlineStr">
        <is>
          <t>TAI</t>
        </is>
      </c>
      <c r="B348" t="inlineStr">
        <is>
          <t>NERC Compliance Engineer</t>
        </is>
      </c>
      <c r="C348" t="inlineStr">
        <is>
          <t>applied</t>
        </is>
      </c>
      <c r="D348" t="inlineStr">
        <is>
          <t>Handshake (auto-submission, reconciled 2026-09-05)</t>
        </is>
      </c>
      <c r="E348" t="inlineStr">
        <is>
          <t>2026-04-07</t>
        </is>
      </c>
      <c r="F348" t="inlineStr">
        <is>
          <t>2026-04-07</t>
        </is>
      </c>
    </row>
    <row r="349">
      <c r="A349" t="inlineStr">
        <is>
          <t>Navy Federal Credit Union</t>
        </is>
      </c>
      <c r="B349" t="inlineStr">
        <is>
          <t>Intern - Year Round (Cyber Threat Intelligence)</t>
        </is>
      </c>
      <c r="C349" t="inlineStr">
        <is>
          <t>applied</t>
        </is>
      </c>
      <c r="D349" t="inlineStr">
        <is>
          <t>Handshake (auto-submission, reconciled 2026-09-05)</t>
        </is>
      </c>
      <c r="E349" t="inlineStr">
        <is>
          <t>2026-04-07</t>
        </is>
      </c>
      <c r="F349" t="inlineStr">
        <is>
          <t>2026-04-07</t>
        </is>
      </c>
    </row>
    <row r="350">
      <c r="A350" t="inlineStr">
        <is>
          <t>Command Holding</t>
        </is>
      </c>
      <c r="B350" t="inlineStr">
        <is>
          <t>Cyber Workforce Program Analyst</t>
        </is>
      </c>
      <c r="C350" t="inlineStr">
        <is>
          <t>applied</t>
        </is>
      </c>
      <c r="D350" t="inlineStr">
        <is>
          <t>Handshake (auto-submission, reconciled 2026-09-05)</t>
        </is>
      </c>
      <c r="E350" t="inlineStr">
        <is>
          <t>2026-04-07</t>
        </is>
      </c>
      <c r="F350" t="inlineStr">
        <is>
          <t>2026-04-07</t>
        </is>
      </c>
    </row>
    <row r="351">
      <c r="A351" t="inlineStr">
        <is>
          <t>Texas Instruments Inc.</t>
        </is>
      </c>
      <c r="B351" t="inlineStr">
        <is>
          <t>New College Graduate - Cybersecurity Development Program</t>
        </is>
      </c>
      <c r="C351" t="inlineStr">
        <is>
          <t>applied</t>
        </is>
      </c>
      <c r="D351" t="inlineStr">
        <is>
          <t>Handshake (auto-submission, reconciled 2026-09-05)</t>
        </is>
      </c>
      <c r="E351" t="inlineStr">
        <is>
          <t>2026-04-07</t>
        </is>
      </c>
      <c r="F351" t="inlineStr">
        <is>
          <t>2026-04-07</t>
        </is>
      </c>
    </row>
    <row r="352">
      <c r="A352" t="inlineStr">
        <is>
          <t>CTEWorkforce</t>
        </is>
      </c>
      <c r="B352" t="inlineStr">
        <is>
          <t>Online Cybersecurity Mentorship Program (4 Weeks, Flexible)</t>
        </is>
      </c>
      <c r="C352" t="inlineStr">
        <is>
          <t>applied</t>
        </is>
      </c>
      <c r="D352" t="inlineStr">
        <is>
          <t>Handshake (auto-submission, reconciled 2026-09-05)</t>
        </is>
      </c>
      <c r="E352" t="inlineStr">
        <is>
          <t>2026-04-02</t>
        </is>
      </c>
      <c r="F352" t="inlineStr">
        <is>
          <t>2026-04-02</t>
        </is>
      </c>
    </row>
    <row r="353">
      <c r="A353" t="inlineStr">
        <is>
          <t>Santee Cooper</t>
        </is>
      </c>
      <c r="B353" t="inlineStr">
        <is>
          <t>COMPLIANCE SPECIALIST</t>
        </is>
      </c>
      <c r="C353" t="inlineStr">
        <is>
          <t>applied</t>
        </is>
      </c>
      <c r="D353" t="inlineStr">
        <is>
          <t>Handshake (auto-submission, reconciled 2026-09-05)</t>
        </is>
      </c>
      <c r="E353" t="inlineStr">
        <is>
          <t>2026-04-02</t>
        </is>
      </c>
      <c r="F353" t="inlineStr">
        <is>
          <t>2026-04-02</t>
        </is>
      </c>
    </row>
    <row r="354">
      <c r="A354" t="inlineStr">
        <is>
          <t>CapEd Credit Union</t>
        </is>
      </c>
      <c r="B354" t="inlineStr">
        <is>
          <t>System Security Engineer</t>
        </is>
      </c>
      <c r="C354" t="inlineStr">
        <is>
          <t>applied</t>
        </is>
      </c>
      <c r="D354" t="inlineStr">
        <is>
          <t>Handshake (auto-submission, reconciled 2026-09-05)</t>
        </is>
      </c>
      <c r="E354" t="inlineStr">
        <is>
          <t>2026-04-02</t>
        </is>
      </c>
      <c r="F354" t="inlineStr">
        <is>
          <t>2026-04-02</t>
        </is>
      </c>
    </row>
    <row r="355">
      <c r="A355" t="inlineStr">
        <is>
          <t>Space Dynamics Laboratory</t>
        </is>
      </c>
      <c r="B355" t="inlineStr">
        <is>
          <t>Cyber Engineer</t>
        </is>
      </c>
      <c r="C355" t="inlineStr">
        <is>
          <t>applied</t>
        </is>
      </c>
      <c r="D355" t="inlineStr">
        <is>
          <t>Handshake (auto-submission, reconciled 2026-09-05)</t>
        </is>
      </c>
      <c r="E355" t="inlineStr">
        <is>
          <t>2026-04-02</t>
        </is>
      </c>
      <c r="F355" t="inlineStr">
        <is>
          <t>2026-04-02</t>
        </is>
      </c>
    </row>
    <row r="356">
      <c r="A356" t="inlineStr">
        <is>
          <t>Space Dynamics Laboratory</t>
        </is>
      </c>
      <c r="B356" t="inlineStr">
        <is>
          <t>Cybersecurity Analyst</t>
        </is>
      </c>
      <c r="C356" t="inlineStr">
        <is>
          <t>applied</t>
        </is>
      </c>
      <c r="D356" t="inlineStr">
        <is>
          <t>Handshake (auto-submission, reconciled 2026-09-05)</t>
        </is>
      </c>
      <c r="E356" t="inlineStr">
        <is>
          <t>2026-04-02</t>
        </is>
      </c>
      <c r="F356" t="inlineStr">
        <is>
          <t>2026-04-02</t>
        </is>
      </c>
    </row>
    <row r="357">
      <c r="A357" t="inlineStr">
        <is>
          <t>Amphenol Corporation</t>
        </is>
      </c>
      <c r="B357" t="inlineStr">
        <is>
          <t>IT Security Analyst</t>
        </is>
      </c>
      <c r="C357" t="inlineStr">
        <is>
          <t>applied</t>
        </is>
      </c>
      <c r="D357" t="inlineStr">
        <is>
          <t>Handshake (auto-submission, reconciled 2026-09-05)</t>
        </is>
      </c>
      <c r="E357" t="inlineStr">
        <is>
          <t>2026-04-02</t>
        </is>
      </c>
      <c r="F357" t="inlineStr">
        <is>
          <t>2026-04-02</t>
        </is>
      </c>
    </row>
    <row r="358">
      <c r="A358" t="inlineStr">
        <is>
          <t>Georgia Southern University</t>
        </is>
      </c>
      <c r="B358" t="inlineStr">
        <is>
          <t>Assistant Professor Computer Science</t>
        </is>
      </c>
      <c r="C358" t="inlineStr">
        <is>
          <t>applied</t>
        </is>
      </c>
      <c r="D358" t="inlineStr">
        <is>
          <t>Handshake (auto-submission, reconciled 2026-09-05)</t>
        </is>
      </c>
      <c r="E358" t="inlineStr">
        <is>
          <t>2026-04-02</t>
        </is>
      </c>
      <c r="F358" t="inlineStr">
        <is>
          <t>2026-04-02</t>
        </is>
      </c>
    </row>
    <row r="359">
      <c r="A359" t="inlineStr">
        <is>
          <t>Sierra Pacific Industries</t>
        </is>
      </c>
      <c r="B359" t="inlineStr">
        <is>
          <t>Cybersecurity and Compliance Officer</t>
        </is>
      </c>
      <c r="C359" t="inlineStr">
        <is>
          <t>applied</t>
        </is>
      </c>
      <c r="D359" t="inlineStr">
        <is>
          <t>Handshake (auto-submission, reconciled 2026-09-05)</t>
        </is>
      </c>
      <c r="E359" t="inlineStr">
        <is>
          <t>2026-04-02</t>
        </is>
      </c>
      <c r="F359" t="inlineStr">
        <is>
          <t>2026-04-02</t>
        </is>
      </c>
    </row>
    <row r="360">
      <c r="A360" t="inlineStr">
        <is>
          <t>Volex, Inc</t>
        </is>
      </c>
      <c r="B360" t="inlineStr">
        <is>
          <t>Junior CMMC Compliance Analyst</t>
        </is>
      </c>
      <c r="C360" t="inlineStr">
        <is>
          <t>applied</t>
        </is>
      </c>
      <c r="D360" t="inlineStr">
        <is>
          <t>Handshake (auto-submission, reconciled 2026-09-05)</t>
        </is>
      </c>
      <c r="E360" t="inlineStr">
        <is>
          <t>2026-04-02</t>
        </is>
      </c>
      <c r="F360" t="inlineStr">
        <is>
          <t>2026-04-02</t>
        </is>
      </c>
    </row>
    <row r="361">
      <c r="A361" t="inlineStr">
        <is>
          <t>Professional Technology Integration, Inc.</t>
        </is>
      </c>
      <c r="B361" t="inlineStr">
        <is>
          <t>ZPA Network Engineer</t>
        </is>
      </c>
      <c r="C361" t="inlineStr">
        <is>
          <t>applied</t>
        </is>
      </c>
      <c r="D361" t="inlineStr">
        <is>
          <t>Handshake (auto-submission, reconciled 2026-09-05)</t>
        </is>
      </c>
      <c r="E361" t="inlineStr">
        <is>
          <t>2026-04-02</t>
        </is>
      </c>
      <c r="F361" t="inlineStr">
        <is>
          <t>2026-04-02</t>
        </is>
      </c>
    </row>
    <row r="362">
      <c r="A362" t="inlineStr">
        <is>
          <t>D.R. Horton, Inc.</t>
        </is>
      </c>
      <c r="B362" t="inlineStr">
        <is>
          <t>IT Controls Analyst</t>
        </is>
      </c>
      <c r="C362" t="inlineStr">
        <is>
          <t>applied</t>
        </is>
      </c>
      <c r="D362" t="inlineStr">
        <is>
          <t>Handshake (auto-submission, reconciled 2026-09-05)</t>
        </is>
      </c>
      <c r="E362" t="inlineStr">
        <is>
          <t>2026-04-02</t>
        </is>
      </c>
      <c r="F362" t="inlineStr">
        <is>
          <t>2026-04-02</t>
        </is>
      </c>
    </row>
    <row r="363">
      <c r="A363" t="inlineStr">
        <is>
          <t>NOV</t>
        </is>
      </c>
      <c r="B363" t="inlineStr">
        <is>
          <t>Cybersecurity IAM Engineer</t>
        </is>
      </c>
      <c r="C363" t="inlineStr">
        <is>
          <t>applied</t>
        </is>
      </c>
      <c r="D363" t="inlineStr">
        <is>
          <t>Handshake (auto-submission, reconciled 2026-09-05)</t>
        </is>
      </c>
      <c r="E363" t="inlineStr">
        <is>
          <t>2026-03-25</t>
        </is>
      </c>
      <c r="F363" t="inlineStr">
        <is>
          <t>2026-03-25</t>
        </is>
      </c>
    </row>
    <row r="364">
      <c r="A364" t="inlineStr">
        <is>
          <t>Kurv</t>
        </is>
      </c>
      <c r="B364" t="inlineStr">
        <is>
          <t>Cybersecurity Intern</t>
        </is>
      </c>
      <c r="C364" t="inlineStr">
        <is>
          <t>applied</t>
        </is>
      </c>
      <c r="D364" t="inlineStr">
        <is>
          <t>Handshake (auto-submission, reconciled 2026-09-05)</t>
        </is>
      </c>
      <c r="E364" t="inlineStr">
        <is>
          <t>2026-03-25</t>
        </is>
      </c>
      <c r="F364" t="inlineStr">
        <is>
          <t>2026-03-25</t>
        </is>
      </c>
    </row>
    <row r="365">
      <c r="A365" t="inlineStr">
        <is>
          <t>NOV</t>
        </is>
      </c>
      <c r="B365" t="inlineStr">
        <is>
          <t>Cybersecurity Engineer</t>
        </is>
      </c>
      <c r="C365" t="inlineStr">
        <is>
          <t>applied</t>
        </is>
      </c>
      <c r="D365" t="inlineStr">
        <is>
          <t>Handshake (auto-submission, reconciled 2026-09-05)</t>
        </is>
      </c>
      <c r="E365" t="inlineStr">
        <is>
          <t>2026-03-25</t>
        </is>
      </c>
      <c r="F365" t="inlineStr">
        <is>
          <t>2026-03-25</t>
        </is>
      </c>
    </row>
    <row r="366">
      <c r="A366" t="inlineStr">
        <is>
          <t>Command Holding</t>
        </is>
      </c>
      <c r="B366" t="inlineStr">
        <is>
          <t>Cybersecurity Analyst - Mid</t>
        </is>
      </c>
      <c r="C366" t="inlineStr">
        <is>
          <t>applied</t>
        </is>
      </c>
      <c r="D366" t="inlineStr">
        <is>
          <t>Handshake (auto-submission, reconciled 2026-09-05)</t>
        </is>
      </c>
      <c r="E366" t="inlineStr">
        <is>
          <t>2026-03-25</t>
        </is>
      </c>
      <c r="F366" t="inlineStr">
        <is>
          <t>2026-03-25</t>
        </is>
      </c>
    </row>
    <row r="367">
      <c r="A367" t="inlineStr">
        <is>
          <t>Midco</t>
        </is>
      </c>
      <c r="B367" t="inlineStr">
        <is>
          <t>Information Security Analyst</t>
        </is>
      </c>
      <c r="C367" t="inlineStr">
        <is>
          <t>applied</t>
        </is>
      </c>
      <c r="D367" t="inlineStr">
        <is>
          <t>Handshake (auto-submission, reconciled 2026-09-05)</t>
        </is>
      </c>
      <c r="E367" t="inlineStr">
        <is>
          <t>2026-03-24</t>
        </is>
      </c>
      <c r="F367" t="inlineStr">
        <is>
          <t>2026-03-24</t>
        </is>
      </c>
    </row>
    <row r="368">
      <c r="A368" t="inlineStr">
        <is>
          <t>Professional Technology Integration, Inc.</t>
        </is>
      </c>
      <c r="B368" t="inlineStr">
        <is>
          <t>Cyber Security Analyst</t>
        </is>
      </c>
      <c r="C368" t="inlineStr">
        <is>
          <t>applied</t>
        </is>
      </c>
      <c r="D368" t="inlineStr">
        <is>
          <t>Handshake (auto-submission, reconciled 2026-09-05)</t>
        </is>
      </c>
      <c r="E368" t="inlineStr">
        <is>
          <t>2026-03-24</t>
        </is>
      </c>
      <c r="F368" t="inlineStr">
        <is>
          <t>2026-03-24</t>
        </is>
      </c>
    </row>
    <row r="369">
      <c r="A369" t="inlineStr">
        <is>
          <t>Professional Technology Integration, Inc.</t>
        </is>
      </c>
      <c r="B369" t="inlineStr">
        <is>
          <t>IT Application Trainer</t>
        </is>
      </c>
      <c r="C369" t="inlineStr">
        <is>
          <t>applied</t>
        </is>
      </c>
      <c r="D369" t="inlineStr">
        <is>
          <t>Handshake (auto-submission, reconciled 2026-09-05)</t>
        </is>
      </c>
      <c r="E369" t="inlineStr">
        <is>
          <t>2026-03-24</t>
        </is>
      </c>
      <c r="F369" t="inlineStr">
        <is>
          <t>2026-03-24</t>
        </is>
      </c>
    </row>
    <row r="370">
      <c r="A370" t="inlineStr">
        <is>
          <t>Human Resources Research Organization</t>
        </is>
      </c>
      <c r="B370" t="inlineStr">
        <is>
          <t>IT Project Manager</t>
        </is>
      </c>
      <c r="C370" t="inlineStr">
        <is>
          <t>applied</t>
        </is>
      </c>
      <c r="D370" t="inlineStr">
        <is>
          <t>Handshake (auto-submission, reconciled 2026-09-05)</t>
        </is>
      </c>
      <c r="E370" t="inlineStr">
        <is>
          <t>2026-03-24</t>
        </is>
      </c>
      <c r="F370" t="inlineStr">
        <is>
          <t>2026-03-24</t>
        </is>
      </c>
    </row>
    <row r="371">
      <c r="A371" t="inlineStr">
        <is>
          <t>Command Holding</t>
        </is>
      </c>
      <c r="B371" t="inlineStr">
        <is>
          <t>Cybersecurity Analyst - Mid</t>
        </is>
      </c>
      <c r="C371" t="inlineStr">
        <is>
          <t>applied</t>
        </is>
      </c>
      <c r="D371" t="inlineStr">
        <is>
          <t>Handshake (auto-submission, reconciled 2026-09-05)</t>
        </is>
      </c>
      <c r="E371" t="inlineStr">
        <is>
          <t>2026-03-24</t>
        </is>
      </c>
      <c r="F371" t="inlineStr">
        <is>
          <t>2026-03-24</t>
        </is>
      </c>
    </row>
    <row r="372">
      <c r="A372" t="inlineStr">
        <is>
          <t>Red5 Security</t>
        </is>
      </c>
      <c r="B372" t="inlineStr">
        <is>
          <t>Open Source Analyst (Entry Level)</t>
        </is>
      </c>
      <c r="C372" t="inlineStr">
        <is>
          <t>applied</t>
        </is>
      </c>
      <c r="D372" t="inlineStr">
        <is>
          <t>Handshake (auto-submission, reconciled 2026-09-05)</t>
        </is>
      </c>
      <c r="E372" t="inlineStr">
        <is>
          <t>2026-03-21</t>
        </is>
      </c>
      <c r="F372" t="inlineStr">
        <is>
          <t>2026-03-21</t>
        </is>
      </c>
    </row>
    <row r="373">
      <c r="A373" t="inlineStr">
        <is>
          <t>Genesee County</t>
        </is>
      </c>
      <c r="B373" t="inlineStr">
        <is>
          <t>Chief Information Security Officer</t>
        </is>
      </c>
      <c r="C373" t="inlineStr">
        <is>
          <t>applied</t>
        </is>
      </c>
      <c r="D373" t="inlineStr">
        <is>
          <t>Handshake (auto-submission, reconciled 2026-09-05)</t>
        </is>
      </c>
      <c r="E373" t="inlineStr">
        <is>
          <t>2026-03-21</t>
        </is>
      </c>
      <c r="F373" t="inlineStr">
        <is>
          <t>2026-03-21</t>
        </is>
      </c>
    </row>
    <row r="374">
      <c r="A374" t="inlineStr">
        <is>
          <t>NOV</t>
        </is>
      </c>
      <c r="B374" t="inlineStr">
        <is>
          <t>Cybersecurity System Administrator</t>
        </is>
      </c>
      <c r="C374" t="inlineStr">
        <is>
          <t>applied</t>
        </is>
      </c>
      <c r="D374" t="inlineStr">
        <is>
          <t>Handshake (auto-submission, reconciled 2026-09-05)</t>
        </is>
      </c>
      <c r="E374" t="inlineStr">
        <is>
          <t>2026-03-21</t>
        </is>
      </c>
      <c r="F374" t="inlineStr">
        <is>
          <t>2026-03-21</t>
        </is>
      </c>
    </row>
    <row r="375">
      <c r="A375" t="inlineStr">
        <is>
          <t>Monroe County, State of New York</t>
        </is>
      </c>
      <c r="B375" t="inlineStr">
        <is>
          <t>Cyber Security Coordinator, prov.</t>
        </is>
      </c>
      <c r="C375" t="inlineStr">
        <is>
          <t>applied</t>
        </is>
      </c>
      <c r="D375" t="inlineStr">
        <is>
          <t>Handshake (auto-submission, reconciled 2026-09-05)</t>
        </is>
      </c>
      <c r="E375" t="inlineStr">
        <is>
          <t>2026-03-21</t>
        </is>
      </c>
      <c r="F375" t="inlineStr">
        <is>
          <t>2026-03-21</t>
        </is>
      </c>
    </row>
    <row r="376">
      <c r="A376" t="inlineStr">
        <is>
          <t>ICR, Inc.</t>
        </is>
      </c>
      <c r="B376" t="inlineStr">
        <is>
          <t>Cyber Reverse Engineer</t>
        </is>
      </c>
      <c r="C376" t="inlineStr">
        <is>
          <t>applied</t>
        </is>
      </c>
      <c r="D376" t="inlineStr">
        <is>
          <t>Handshake (auto-submission, reconciled 2026-09-05)</t>
        </is>
      </c>
      <c r="E376" t="inlineStr">
        <is>
          <t>2026-03-21</t>
        </is>
      </c>
      <c r="F376" t="inlineStr">
        <is>
          <t>2026-03-21</t>
        </is>
      </c>
    </row>
    <row r="377">
      <c r="A377" t="inlineStr">
        <is>
          <t>The Guthrie Clinic</t>
        </is>
      </c>
      <c r="B377" t="inlineStr">
        <is>
          <t>Manager Network Management IT Infrastructure</t>
        </is>
      </c>
      <c r="C377" t="inlineStr">
        <is>
          <t>applied</t>
        </is>
      </c>
      <c r="D377" t="inlineStr">
        <is>
          <t>Handshake (auto-submission, reconciled 2026-09-05)</t>
        </is>
      </c>
      <c r="E377" t="inlineStr">
        <is>
          <t>2026-03-21</t>
        </is>
      </c>
      <c r="F377" t="inlineStr">
        <is>
          <t>2026-03-21</t>
        </is>
      </c>
    </row>
    <row r="378">
      <c r="A378" t="inlineStr">
        <is>
          <t>Community Youth Center of San Francisco</t>
        </is>
      </c>
      <c r="B378" t="inlineStr">
        <is>
          <t>IT Manager</t>
        </is>
      </c>
      <c r="C378" t="inlineStr">
        <is>
          <t>applied</t>
        </is>
      </c>
      <c r="D378" t="inlineStr">
        <is>
          <t>Handshake (auto-submission, reconciled 2026-09-05)</t>
        </is>
      </c>
      <c r="E378" t="inlineStr">
        <is>
          <t>2026-03-21</t>
        </is>
      </c>
      <c r="F378" t="inlineStr">
        <is>
          <t>2026-03-21</t>
        </is>
      </c>
    </row>
    <row r="379">
      <c r="A379" t="inlineStr">
        <is>
          <t>Quality Healthcare Staffing</t>
        </is>
      </c>
      <c r="B379" t="inlineStr">
        <is>
          <t>Cyber Simulation Content Developer</t>
        </is>
      </c>
      <c r="C379" t="inlineStr">
        <is>
          <t>applied</t>
        </is>
      </c>
      <c r="D379" t="inlineStr">
        <is>
          <t>Handshake (auto-submission, reconciled 2026-09-05)</t>
        </is>
      </c>
      <c r="E379" t="inlineStr">
        <is>
          <t>2026-03-21</t>
        </is>
      </c>
      <c r="F379" t="inlineStr">
        <is>
          <t>2026-03-21</t>
        </is>
      </c>
    </row>
    <row r="380">
      <c r="A380" t="inlineStr">
        <is>
          <t>Jack Doheny Company (JDC)</t>
        </is>
      </c>
      <c r="B380" t="inlineStr">
        <is>
          <t>IT Manager</t>
        </is>
      </c>
      <c r="C380" t="inlineStr">
        <is>
          <t>applied</t>
        </is>
      </c>
      <c r="D380" t="inlineStr">
        <is>
          <t>Handshake (auto-submission, reconciled 2026-09-05)</t>
        </is>
      </c>
      <c r="E380" t="inlineStr">
        <is>
          <t>2026-03-21</t>
        </is>
      </c>
      <c r="F380" t="inlineStr">
        <is>
          <t>2026-03-21</t>
        </is>
      </c>
    </row>
    <row r="381">
      <c r="A381" t="inlineStr">
        <is>
          <t>ARMADA, Ltd</t>
        </is>
      </c>
      <c r="B381" t="inlineStr">
        <is>
          <t>IT &amp; Compliance Manager</t>
        </is>
      </c>
      <c r="C381" t="inlineStr">
        <is>
          <t>applied</t>
        </is>
      </c>
      <c r="D381" t="inlineStr">
        <is>
          <t>Handshake (auto-submission, reconciled 2026-09-05)</t>
        </is>
      </c>
      <c r="E381" t="inlineStr">
        <is>
          <t>2026-03-21</t>
        </is>
      </c>
      <c r="F381" t="inlineStr">
        <is>
          <t>2026-03-21</t>
        </is>
      </c>
    </row>
    <row r="382">
      <c r="A382" t="inlineStr">
        <is>
          <t>Georgia Southern University</t>
        </is>
      </c>
      <c r="B382" t="inlineStr">
        <is>
          <t>Assistant Professor Electrical and Computer Engineering</t>
        </is>
      </c>
      <c r="C382" t="inlineStr">
        <is>
          <t>applied</t>
        </is>
      </c>
      <c r="D382" t="inlineStr">
        <is>
          <t>Handshake (auto-submission, reconciled 2026-09-05)</t>
        </is>
      </c>
      <c r="E382" t="inlineStr">
        <is>
          <t>2026-03-21</t>
        </is>
      </c>
      <c r="F382" t="inlineStr">
        <is>
          <t>2026-03-21</t>
        </is>
      </c>
    </row>
    <row r="383">
      <c r="A383" t="inlineStr">
        <is>
          <t>Santa Clara University</t>
        </is>
      </c>
      <c r="B383" t="inlineStr">
        <is>
          <t>Assistant Teaching Professor in Computer Science</t>
        </is>
      </c>
      <c r="C383" t="inlineStr">
        <is>
          <t>Applied (auto-submission via Simplify)</t>
        </is>
      </c>
      <c r="D383" t="inlineStr">
        <is>
          <t>Handshake (auto-submission, reconciled 2026-09-05)</t>
        </is>
      </c>
      <c r="E383" t="inlineStr">
        <is>
          <t>2026-03-21</t>
        </is>
      </c>
      <c r="F383" t="inlineStr">
        <is>
          <t>2026-03-21</t>
        </is>
      </c>
    </row>
    <row r="384">
      <c r="A384" t="inlineStr">
        <is>
          <t>On Site Personnel Group, Inc.</t>
        </is>
      </c>
      <c r="B384" t="inlineStr">
        <is>
          <t>IT Business Systems Administrator</t>
        </is>
      </c>
      <c r="C384" t="inlineStr">
        <is>
          <t>applied</t>
        </is>
      </c>
      <c r="D384" t="inlineStr">
        <is>
          <t>Handshake (auto-submission, reconciled 2026-09-05)</t>
        </is>
      </c>
      <c r="E384" t="inlineStr">
        <is>
          <t>2026-03-21</t>
        </is>
      </c>
      <c r="F384" t="inlineStr">
        <is>
          <t>2026-03-21</t>
        </is>
      </c>
    </row>
    <row r="385">
      <c r="A385" t="inlineStr">
        <is>
          <t>NukuDo</t>
        </is>
      </c>
      <c r="B385" t="inlineStr">
        <is>
          <t>Cybersecurity Specialist</t>
        </is>
      </c>
      <c r="C385" t="inlineStr">
        <is>
          <t>applied</t>
        </is>
      </c>
      <c r="D385" t="inlineStr">
        <is>
          <t>Handshake (auto-submission, reconciled 2026-09-05)</t>
        </is>
      </c>
      <c r="E385" t="inlineStr">
        <is>
          <t>2026-03-21</t>
        </is>
      </c>
      <c r="F385" t="inlineStr">
        <is>
          <t>2026-03-21</t>
        </is>
      </c>
    </row>
    <row r="386">
      <c r="A386" t="inlineStr">
        <is>
          <t>New York State Department of Public Service</t>
        </is>
      </c>
      <c r="B386" t="inlineStr">
        <is>
          <t>Utility Analyst (Cyber Security) Trainee*, NS, or Utility Analyst 1 (Cyber Security), Grade 18 (NY HELPS)- ALBANY</t>
        </is>
      </c>
      <c r="C386" t="inlineStr">
        <is>
          <t>applied</t>
        </is>
      </c>
      <c r="D386" t="inlineStr">
        <is>
          <t>Handshake (auto-submission, reconciled 2026-09-05)</t>
        </is>
      </c>
      <c r="E386" t="inlineStr">
        <is>
          <t>2026-03-21</t>
        </is>
      </c>
      <c r="F386" t="inlineStr">
        <is>
          <t>2026-03-21</t>
        </is>
      </c>
    </row>
    <row r="387">
      <c r="A387" t="inlineStr">
        <is>
          <t>Professional Technology Integration, Inc.</t>
        </is>
      </c>
      <c r="B387" t="inlineStr">
        <is>
          <t>Systems Analyst</t>
        </is>
      </c>
      <c r="C387" t="inlineStr">
        <is>
          <t>applied</t>
        </is>
      </c>
      <c r="D387" t="inlineStr">
        <is>
          <t>Handshake (auto-submission, reconciled 2026-09-05)</t>
        </is>
      </c>
      <c r="E387" t="inlineStr">
        <is>
          <t>2026-03-14</t>
        </is>
      </c>
      <c r="F387" t="inlineStr">
        <is>
          <t>2026-03-14</t>
        </is>
      </c>
    </row>
    <row r="388">
      <c r="A388" t="inlineStr">
        <is>
          <t>B&amp;M Consulting Group, Inc.</t>
        </is>
      </c>
      <c r="B388" t="inlineStr">
        <is>
          <t>Entry-Level Cybersecurity Engineer</t>
        </is>
      </c>
      <c r="C388" t="inlineStr">
        <is>
          <t>applied</t>
        </is>
      </c>
      <c r="D388" t="inlineStr">
        <is>
          <t>Handshake (auto-submission, reconciled 2026-09-05)</t>
        </is>
      </c>
      <c r="E388" t="inlineStr">
        <is>
          <t>2026-03-14</t>
        </is>
      </c>
      <c r="F388" t="inlineStr">
        <is>
          <t>2026-03-14</t>
        </is>
      </c>
    </row>
    <row r="389">
      <c r="A389" t="inlineStr">
        <is>
          <t>Clark Schaefer Strategic HR</t>
        </is>
      </c>
      <c r="B389" t="inlineStr">
        <is>
          <t>IT Risk &amp; Cybersecurity Consultant</t>
        </is>
      </c>
      <c r="C389" t="inlineStr">
        <is>
          <t>applied</t>
        </is>
      </c>
      <c r="D389" t="inlineStr">
        <is>
          <t>Handshake (auto-submission, reconciled 2026-09-05)</t>
        </is>
      </c>
      <c r="E389" t="inlineStr">
        <is>
          <t>2026-03-14</t>
        </is>
      </c>
      <c r="F389" t="inlineStr">
        <is>
          <t>2026-03-14</t>
        </is>
      </c>
    </row>
    <row r="390">
      <c r="A390" t="inlineStr">
        <is>
          <t>Blumira</t>
        </is>
      </c>
      <c r="B390" t="inlineStr">
        <is>
          <t>Security Operations Analyst</t>
        </is>
      </c>
      <c r="C390" t="inlineStr">
        <is>
          <t>applied</t>
        </is>
      </c>
      <c r="D390" t="inlineStr">
        <is>
          <t>Handshake (auto-submission, reconciled 2026-09-05)</t>
        </is>
      </c>
      <c r="E390" t="inlineStr">
        <is>
          <t>2026-03-14</t>
        </is>
      </c>
      <c r="F390" t="inlineStr">
        <is>
          <t>2026-03-14</t>
        </is>
      </c>
    </row>
    <row r="391">
      <c r="A391" t="inlineStr">
        <is>
          <t>Cato Institute</t>
        </is>
      </c>
      <c r="B391" t="inlineStr">
        <is>
          <t>Technology Associate</t>
        </is>
      </c>
      <c r="C391" t="inlineStr">
        <is>
          <t>applied</t>
        </is>
      </c>
      <c r="D391" t="inlineStr">
        <is>
          <t>Handshake (auto-submission, reconciled 2026-09-05)</t>
        </is>
      </c>
      <c r="E391" t="inlineStr">
        <is>
          <t>2026-03-14</t>
        </is>
      </c>
      <c r="F391" t="inlineStr">
        <is>
          <t>2026-03-14</t>
        </is>
      </c>
    </row>
    <row r="392">
      <c r="A392" t="inlineStr">
        <is>
          <t>C&amp;N (Citizens and Northern)</t>
        </is>
      </c>
      <c r="B392" t="inlineStr">
        <is>
          <t>Information Security Intern</t>
        </is>
      </c>
      <c r="C392" t="inlineStr">
        <is>
          <t>applied</t>
        </is>
      </c>
      <c r="D392" t="inlineStr">
        <is>
          <t>Handshake (auto-submission, reconciled 2026-09-05)</t>
        </is>
      </c>
      <c r="E392" t="inlineStr">
        <is>
          <t>2026-03-10</t>
        </is>
      </c>
      <c r="F392" t="inlineStr">
        <is>
          <t>2026-03-10</t>
        </is>
      </c>
    </row>
    <row r="393">
      <c r="A393" t="inlineStr">
        <is>
          <t>Texas Instruments Inc.</t>
        </is>
      </c>
      <c r="B393" t="inlineStr">
        <is>
          <t>Information Technology Intern – Security</t>
        </is>
      </c>
      <c r="C393" t="inlineStr">
        <is>
          <t>applied</t>
        </is>
      </c>
      <c r="D393" t="inlineStr">
        <is>
          <t>Handshake (auto-submission, reconciled 2026-09-05)</t>
        </is>
      </c>
      <c r="E393" t="inlineStr">
        <is>
          <t>2026-03-10</t>
        </is>
      </c>
      <c r="F393" t="inlineStr">
        <is>
          <t>2026-03-10</t>
        </is>
      </c>
    </row>
    <row r="394">
      <c r="A394" t="inlineStr">
        <is>
          <t>Steadfast Partners</t>
        </is>
      </c>
      <c r="B394" t="inlineStr">
        <is>
          <t>Information Security Associate Consultant Internship</t>
        </is>
      </c>
      <c r="C394" t="inlineStr">
        <is>
          <t>applied</t>
        </is>
      </c>
      <c r="D394" t="inlineStr">
        <is>
          <t>Handshake (auto-submission, reconciled 2026-09-05)</t>
        </is>
      </c>
      <c r="E394" t="inlineStr">
        <is>
          <t>2026-03-10</t>
        </is>
      </c>
      <c r="F394" t="inlineStr">
        <is>
          <t>2026-03-10</t>
        </is>
      </c>
    </row>
    <row r="395">
      <c r="A395" t="inlineStr">
        <is>
          <t>CODE PLUS Inc.</t>
        </is>
      </c>
      <c r="B395" t="inlineStr">
        <is>
          <t>Cybersecurity CMMC Intern</t>
        </is>
      </c>
      <c r="C395" t="inlineStr">
        <is>
          <t>applied</t>
        </is>
      </c>
      <c r="D395" t="inlineStr">
        <is>
          <t>Handshake (auto-submission, reconciled 2026-09-05)</t>
        </is>
      </c>
      <c r="E395" t="inlineStr">
        <is>
          <t>2026-03-10</t>
        </is>
      </c>
      <c r="F395" t="inlineStr">
        <is>
          <t>2026-03-10</t>
        </is>
      </c>
    </row>
    <row r="396">
      <c r="A396" t="inlineStr">
        <is>
          <t>The Massachusetts Executive Office of Technology Services and Security</t>
        </is>
      </c>
      <c r="B396" t="inlineStr">
        <is>
          <t>Cybersecurity Analyst Intern</t>
        </is>
      </c>
      <c r="C396" t="inlineStr">
        <is>
          <t>applied</t>
        </is>
      </c>
      <c r="D396" t="inlineStr">
        <is>
          <t>Handshake (auto-submission, reconciled 2026-09-05)</t>
        </is>
      </c>
      <c r="E396" t="inlineStr">
        <is>
          <t>2026-03-10</t>
        </is>
      </c>
      <c r="F396" t="inlineStr">
        <is>
          <t>2026-03-10</t>
        </is>
      </c>
    </row>
    <row r="397">
      <c r="A397" t="inlineStr">
        <is>
          <t>Applied Research Associates, Inc. (ARA)</t>
        </is>
      </c>
      <c r="B397" t="inlineStr">
        <is>
          <t>Information Systems Security Officer (ISSO)</t>
        </is>
      </c>
      <c r="C397" t="inlineStr">
        <is>
          <t>applied</t>
        </is>
      </c>
      <c r="D397" t="inlineStr">
        <is>
          <t>Handshake (auto-submission, reconciled 2026-09-05)</t>
        </is>
      </c>
      <c r="E397" t="inlineStr">
        <is>
          <t>2026-03-10</t>
        </is>
      </c>
      <c r="F397" t="inlineStr">
        <is>
          <t>2026-03-10</t>
        </is>
      </c>
    </row>
    <row r="398">
      <c r="A398" t="inlineStr">
        <is>
          <t>Vantage Data Centers</t>
        </is>
      </c>
      <c r="B398" t="inlineStr">
        <is>
          <t>OT Cybersecurity Intern</t>
        </is>
      </c>
      <c r="C398" t="inlineStr">
        <is>
          <t>applied</t>
        </is>
      </c>
      <c r="D398" t="inlineStr">
        <is>
          <t>Handshake (auto-submission, reconciled 2026-09-05)</t>
        </is>
      </c>
      <c r="E398" t="inlineStr">
        <is>
          <t>2026-03-03</t>
        </is>
      </c>
      <c r="F398" t="inlineStr">
        <is>
          <t>2026-03-03</t>
        </is>
      </c>
    </row>
    <row r="399">
      <c r="A399" t="inlineStr">
        <is>
          <t>Command Holding</t>
        </is>
      </c>
      <c r="B399" t="inlineStr">
        <is>
          <t>Junior Cybersecurity Analyst</t>
        </is>
      </c>
      <c r="C399" t="inlineStr">
        <is>
          <t>applied</t>
        </is>
      </c>
      <c r="D399" t="inlineStr">
        <is>
          <t>Handshake (auto-submission, reconciled 2026-09-05)</t>
        </is>
      </c>
      <c r="E399" t="inlineStr">
        <is>
          <t>2026-03-03</t>
        </is>
      </c>
      <c r="F399" t="inlineStr">
        <is>
          <t>2026-03-03</t>
        </is>
      </c>
    </row>
    <row r="400">
      <c r="A400" t="inlineStr">
        <is>
          <t>Naval Nuclear Laboratory</t>
        </is>
      </c>
      <c r="B400" t="inlineStr">
        <is>
          <t>Senior Cybersecurity Analyst</t>
        </is>
      </c>
      <c r="C400" t="inlineStr">
        <is>
          <t>applied</t>
        </is>
      </c>
      <c r="D400" t="inlineStr">
        <is>
          <t>Handshake (auto-submission, reconciled 2026-09-05)</t>
        </is>
      </c>
      <c r="E400" t="inlineStr">
        <is>
          <t>2026-03-03</t>
        </is>
      </c>
      <c r="F400" t="inlineStr">
        <is>
          <t>2026-03-03</t>
        </is>
      </c>
    </row>
    <row r="401">
      <c r="A401" t="inlineStr">
        <is>
          <t>Prometric</t>
        </is>
      </c>
      <c r="B401" t="inlineStr">
        <is>
          <t>Cybersecurity Intern</t>
        </is>
      </c>
      <c r="C401" t="inlineStr">
        <is>
          <t>applied</t>
        </is>
      </c>
      <c r="D401" t="inlineStr">
        <is>
          <t>Handshake (auto-submission, reconciled 2026-09-05)</t>
        </is>
      </c>
      <c r="E401" t="inlineStr">
        <is>
          <t>2026-02-14</t>
        </is>
      </c>
      <c r="F401" t="inlineStr">
        <is>
          <t>2026-02-14</t>
        </is>
      </c>
    </row>
    <row r="402">
      <c r="A402" t="inlineStr">
        <is>
          <t>REDLattice Inc.</t>
        </is>
      </c>
      <c r="B402" t="inlineStr">
        <is>
          <t>Offensive Cyber and Mobile Vulnerability Researcher</t>
        </is>
      </c>
      <c r="C402" t="inlineStr">
        <is>
          <t>applied</t>
        </is>
      </c>
      <c r="D402" t="inlineStr">
        <is>
          <t>Handshake (auto-submission, reconciled 2026-09-05)</t>
        </is>
      </c>
      <c r="E402" t="inlineStr">
        <is>
          <t>2026-02-07</t>
        </is>
      </c>
      <c r="F402" t="inlineStr">
        <is>
          <t>2026-02-07</t>
        </is>
      </c>
    </row>
    <row r="403">
      <c r="A403" t="inlineStr">
        <is>
          <t>National Student Leadership Conference</t>
        </is>
      </c>
      <c r="B403" t="inlineStr">
        <is>
          <t>Teaching Assistant: Intelligence &amp; National Security (Summer 2026)</t>
        </is>
      </c>
      <c r="C403" t="inlineStr">
        <is>
          <t>applied</t>
        </is>
      </c>
      <c r="D403" t="inlineStr">
        <is>
          <t>Handshake (auto-submission, reconciled 2026-09-05)</t>
        </is>
      </c>
      <c r="E403" t="inlineStr">
        <is>
          <t>2026-02-07</t>
        </is>
      </c>
      <c r="F403" t="inlineStr">
        <is>
          <t>2026-02-07</t>
        </is>
      </c>
    </row>
    <row r="404">
      <c r="A404" t="inlineStr">
        <is>
          <t>AI Signal Research, Inc.</t>
        </is>
      </c>
      <c r="B404" t="inlineStr">
        <is>
          <t>Management Analyst, Journeyman (AX1847)</t>
        </is>
      </c>
      <c r="C404" t="inlineStr">
        <is>
          <t>applied</t>
        </is>
      </c>
      <c r="D404" t="inlineStr">
        <is>
          <t>Handshake (auto-submission, reconciled 2026-09-05)</t>
        </is>
      </c>
      <c r="E404" t="inlineStr">
        <is>
          <t>2026-02-07</t>
        </is>
      </c>
      <c r="F404" t="inlineStr">
        <is>
          <t>2026-02-07</t>
        </is>
      </c>
    </row>
    <row r="405">
      <c r="A405" t="inlineStr">
        <is>
          <t>Quantinuum</t>
        </is>
      </c>
      <c r="B405" t="inlineStr">
        <is>
          <t>Insider Threat Analyst</t>
        </is>
      </c>
      <c r="C405" t="inlineStr">
        <is>
          <t>applied</t>
        </is>
      </c>
      <c r="D405" t="inlineStr">
        <is>
          <t>Handshake (auto-submission, reconciled 2026-09-05)</t>
        </is>
      </c>
      <c r="E405" t="inlineStr">
        <is>
          <t>2026-02-07</t>
        </is>
      </c>
      <c r="F405" t="inlineStr">
        <is>
          <t>2026-02-07</t>
        </is>
      </c>
    </row>
    <row r="406">
      <c r="A406" t="inlineStr">
        <is>
          <t>National Student Leadership Conference</t>
        </is>
      </c>
      <c r="B406" t="inlineStr">
        <is>
          <t>Teaching Assistant: Cybersecurity (Summer 2026)</t>
        </is>
      </c>
      <c r="C406" t="inlineStr">
        <is>
          <t>applied</t>
        </is>
      </c>
      <c r="D406" t="inlineStr">
        <is>
          <t>Handshake (auto-submission, reconciled 2026-09-05)</t>
        </is>
      </c>
      <c r="E406" t="inlineStr">
        <is>
          <t>2026-02-07</t>
        </is>
      </c>
      <c r="F406" t="inlineStr">
        <is>
          <t>2026-02-07</t>
        </is>
      </c>
    </row>
    <row r="407">
      <c r="A407" t="inlineStr">
        <is>
          <t>CohnReznick</t>
        </is>
      </c>
      <c r="B407" t="inlineStr">
        <is>
          <t>Information Security Analyst</t>
        </is>
      </c>
      <c r="C407" t="inlineStr">
        <is>
          <t>rejected</t>
        </is>
      </c>
      <c r="D407" t="inlineStr">
        <is>
          <t>unattended auto-submission (discovered)</t>
        </is>
      </c>
      <c r="E407" t="inlineStr">
        <is>
          <t>2026-09-05</t>
        </is>
      </c>
      <c r="H407" t="inlineStr">
        <is>
          <t>2026-09-05_CohnReznick_Information-Security-Analyst-discovered</t>
        </is>
      </c>
    </row>
    <row r="408">
      <c r="A408" t="inlineStr">
        <is>
          <t>Emory University</t>
        </is>
      </c>
      <c r="B408" t="inlineStr">
        <is>
          <t>Senior IT Governance, Risk, and Compliance Analyst - Research Cybersecurity</t>
        </is>
      </c>
      <c r="C408" t="inlineStr">
        <is>
          <t>applied</t>
        </is>
      </c>
      <c r="D408" t="inlineStr">
        <is>
          <t>unattended auto-submission (discovered)</t>
        </is>
      </c>
      <c r="E408" t="inlineStr">
        <is>
          <t>2026-09-06</t>
        </is>
      </c>
      <c r="F408" t="inlineStr">
        <is>
          <t>2026-07-24</t>
        </is>
      </c>
      <c r="H408" t="inlineStr">
        <is>
          <t>2026-09-06_Emory-University_Senior-IT-GRC-Analyst-Research-Cybersecurity-discovered</t>
        </is>
      </c>
    </row>
    <row r="409">
      <c r="A409" t="inlineStr">
        <is>
          <t>SteelToad</t>
        </is>
      </c>
      <c r="B409" t="inlineStr">
        <is>
          <t>Engineer, Cybersecurity II</t>
        </is>
      </c>
      <c r="C409" t="inlineStr">
        <is>
          <t>Applied (auto-submission via Simplify)</t>
        </is>
      </c>
      <c r="D409" t="inlineStr">
        <is>
          <t>LinkedIn (Simplify auto-apply, reconciled 2026-09-06)</t>
        </is>
      </c>
      <c r="E409" t="inlineStr">
        <is>
          <t>2026-09-06</t>
        </is>
      </c>
      <c r="F409" t="inlineStr">
        <is>
          <t>2026-09-06</t>
        </is>
      </c>
      <c r="G409" t="inlineStr">
        <is>
          <t>LinkedIn job tracker status: Applied 3h ago; location: San Diego, CA (On-site)</t>
        </is>
      </c>
    </row>
    <row r="410">
      <c r="A410" t="inlineStr">
        <is>
          <t>eTeam</t>
        </is>
      </c>
      <c r="B410" t="inlineStr">
        <is>
          <t>Data Governance Lead</t>
        </is>
      </c>
      <c r="C410" t="inlineStr">
        <is>
          <t>Applied (auto-submission via Simplify)</t>
        </is>
      </c>
      <c r="D410" t="inlineStr">
        <is>
          <t>LinkedIn (Simplify auto-apply, reconciled 2026-09-06)</t>
        </is>
      </c>
      <c r="E410" t="inlineStr">
        <is>
          <t>2026-09-06</t>
        </is>
      </c>
      <c r="F410" t="inlineStr">
        <is>
          <t>2026-09-06</t>
        </is>
      </c>
      <c r="G410" t="inlineStr">
        <is>
          <t>LinkedIn job tracker status: Applied 22h ago; location: Irving, TX (Hybrid)</t>
        </is>
      </c>
    </row>
    <row r="411">
      <c r="A411" t="inlineStr">
        <is>
          <t>BravoTECH</t>
        </is>
      </c>
      <c r="B411" t="inlineStr">
        <is>
          <t>IT Security Risk Manager</t>
        </is>
      </c>
      <c r="C411" t="inlineStr">
        <is>
          <t>Recruiter Screen Pending</t>
        </is>
      </c>
      <c r="D411" t="inlineStr">
        <is>
          <t>LinkedIn (Simplify auto-apply, reconciled 2026-09-06)</t>
        </is>
      </c>
      <c r="E411" t="inlineStr">
        <is>
          <t>2026-09-06</t>
        </is>
      </c>
      <c r="F411" t="inlineStr">
        <is>
          <t>2026-09-06</t>
        </is>
      </c>
      <c r="G411" t="inlineStr">
        <is>
          <t>LinkedIn job tracker status: Applied 22h ago; location: Fort Worth, TX</t>
        </is>
      </c>
    </row>
    <row r="412">
      <c r="A412" t="inlineStr">
        <is>
          <t>Keller Executive Search</t>
        </is>
      </c>
      <c r="B412" t="inlineStr">
        <is>
          <t>Quality Systems and Risk Management Manager</t>
        </is>
      </c>
      <c r="C412" t="inlineStr">
        <is>
          <t>Applied (auto-submission via Simplify)</t>
        </is>
      </c>
      <c r="D412" t="inlineStr">
        <is>
          <t>LinkedIn (Simplify auto-apply, reconciled 2026-09-06)</t>
        </is>
      </c>
      <c r="E412" t="inlineStr">
        <is>
          <t>2026-09-06</t>
        </is>
      </c>
      <c r="F412" t="inlineStr">
        <is>
          <t>2026-09-06</t>
        </is>
      </c>
      <c r="G412" t="inlineStr">
        <is>
          <t>LinkedIn job tracker status: Applied 23h ago; location: Rochester, NY (On-site)</t>
        </is>
      </c>
    </row>
    <row r="413">
      <c r="A413" t="inlineStr">
        <is>
          <t>The Aspen Group</t>
        </is>
      </c>
      <c r="B413" t="inlineStr">
        <is>
          <t>Manager of Digital Dentistry IT Support</t>
        </is>
      </c>
      <c r="C413" t="inlineStr">
        <is>
          <t>Applied (auto-submission via Simplify)</t>
        </is>
      </c>
      <c r="D413" t="inlineStr">
        <is>
          <t>LinkedIn (Simplify auto-apply, reconciled 2026-09-06)</t>
        </is>
      </c>
      <c r="E413" t="inlineStr">
        <is>
          <t>2026-09-06</t>
        </is>
      </c>
      <c r="F413" t="inlineStr">
        <is>
          <t>2026-09-06</t>
        </is>
      </c>
      <c r="G413" t="inlineStr">
        <is>
          <t>LinkedIn job tracker status: Applied 1d ago; location: Syracuse, NY (On-site)</t>
        </is>
      </c>
    </row>
    <row r="414">
      <c r="A414" t="inlineStr">
        <is>
          <t>Chitra</t>
        </is>
      </c>
      <c r="B414" t="inlineStr">
        <is>
          <t>Functional Area Expert</t>
        </is>
      </c>
      <c r="C414" t="inlineStr">
        <is>
          <t>Applied (auto-submission via Simplify)</t>
        </is>
      </c>
      <c r="D414" t="inlineStr">
        <is>
          <t>LinkedIn (Simplify auto-apply, reconciled 2026-09-06)</t>
        </is>
      </c>
      <c r="E414" t="inlineStr">
        <is>
          <t>2026-09-06</t>
        </is>
      </c>
      <c r="F414" t="inlineStr">
        <is>
          <t>2026-09-06</t>
        </is>
      </c>
      <c r="G414" t="inlineStr">
        <is>
          <t>LinkedIn job tracker status: Applied 1d ago; location: Augusta, GA (On-site)</t>
        </is>
      </c>
    </row>
    <row r="415">
      <c r="A415" t="inlineStr">
        <is>
          <t>ECLARO</t>
        </is>
      </c>
      <c r="B415" t="inlineStr">
        <is>
          <t>Zscaler SME</t>
        </is>
      </c>
      <c r="C415" t="inlineStr">
        <is>
          <t>Applied (auto-submission via Simplify)</t>
        </is>
      </c>
      <c r="D415" t="inlineStr">
        <is>
          <t>LinkedIn (Simplify auto-apply, reconciled 2026-09-06)</t>
        </is>
      </c>
      <c r="E415" t="inlineStr">
        <is>
          <t>2026-09-06</t>
        </is>
      </c>
      <c r="F415" t="inlineStr">
        <is>
          <t>2026-09-06</t>
        </is>
      </c>
      <c r="G415" t="inlineStr">
        <is>
          <t>LinkedIn job tracker status: Applied 1d ago; location: Fort Worth, TX (Hybrid)</t>
        </is>
      </c>
    </row>
    <row r="416">
      <c r="A416" t="inlineStr">
        <is>
          <t>Celestica</t>
        </is>
      </c>
      <c r="B416" t="inlineStr">
        <is>
          <t>Process and Applications Specialist</t>
        </is>
      </c>
      <c r="C416" t="inlineStr">
        <is>
          <t>Applied (auto-submission via Simplify)</t>
        </is>
      </c>
      <c r="D416" t="inlineStr">
        <is>
          <t>LinkedIn (Simplify auto-apply, reconciled 2026-09-06)</t>
        </is>
      </c>
      <c r="E416" t="inlineStr">
        <is>
          <t>2026-09-06</t>
        </is>
      </c>
      <c r="F416" t="inlineStr">
        <is>
          <t>2026-09-06</t>
        </is>
      </c>
      <c r="G416" t="inlineStr">
        <is>
          <t>LinkedIn job tracker status: Applied 1d ago; location: Fort Worth, TX (On-site)</t>
        </is>
      </c>
    </row>
    <row r="417">
      <c r="A417" t="inlineStr">
        <is>
          <t>Sylvan, Inc.</t>
        </is>
      </c>
      <c r="B417" t="inlineStr">
        <is>
          <t>Information Security Analyst</t>
        </is>
      </c>
      <c r="C417" t="inlineStr">
        <is>
          <t>Applied (auto-submission via Simplify)</t>
        </is>
      </c>
      <c r="D417" t="inlineStr">
        <is>
          <t>LinkedIn (Simplify auto-apply, reconciled 2026-09-06)</t>
        </is>
      </c>
      <c r="E417" t="inlineStr">
        <is>
          <t>2026-09-06</t>
        </is>
      </c>
      <c r="F417" t="inlineStr">
        <is>
          <t>2026-09-06</t>
        </is>
      </c>
      <c r="G417" t="inlineStr">
        <is>
          <t>LinkedIn job tracker status: Applied 1mo ago; location: Detroit Metropolitan Area (On-site)</t>
        </is>
      </c>
    </row>
    <row r="418">
      <c r="A418" t="inlineStr">
        <is>
          <t>Buckingham Search</t>
        </is>
      </c>
      <c r="B418" t="inlineStr">
        <is>
          <t>Information Technology Audit Manager</t>
        </is>
      </c>
      <c r="C418" t="inlineStr">
        <is>
          <t>Applied (auto-submission via Simplify)</t>
        </is>
      </c>
      <c r="D418" t="inlineStr">
        <is>
          <t>LinkedIn (Simplify auto-apply, reconciled 2026-09-06)</t>
        </is>
      </c>
      <c r="E418" t="inlineStr">
        <is>
          <t>2026-09-06</t>
        </is>
      </c>
      <c r="F418" t="inlineStr">
        <is>
          <t>2026-09-06</t>
        </is>
      </c>
      <c r="G418" t="inlineStr">
        <is>
          <t>LinkedIn job tracker status: Applied 1mo ago; location: Greater Chicago Area (Hybrid)</t>
        </is>
      </c>
    </row>
    <row r="419">
      <c r="A419" t="inlineStr">
        <is>
          <t>Avenue Code</t>
        </is>
      </c>
      <c r="B419" t="inlineStr">
        <is>
          <t>Cybersecurity Analyst I IT Compliance</t>
        </is>
      </c>
      <c r="C419" t="inlineStr">
        <is>
          <t>Applied (auto-submission via Simplify)</t>
        </is>
      </c>
      <c r="D419" t="inlineStr">
        <is>
          <t>LinkedIn (Simplify auto-apply, reconciled 2026-09-06)</t>
        </is>
      </c>
      <c r="E419" t="inlineStr">
        <is>
          <t>2026-09-06</t>
        </is>
      </c>
      <c r="F419" t="inlineStr">
        <is>
          <t>2026-09-06</t>
        </is>
      </c>
      <c r="G419" t="inlineStr">
        <is>
          <t>LinkedIn job tracker status: Applied 1mo ago; location: United States (Remote)</t>
        </is>
      </c>
    </row>
    <row r="420">
      <c r="A420" t="inlineStr">
        <is>
          <t>Stefanini Group</t>
        </is>
      </c>
      <c r="B420" t="inlineStr">
        <is>
          <t>Information Security Analyst</t>
        </is>
      </c>
      <c r="C420" t="inlineStr">
        <is>
          <t>Applied (auto-submission via Simplify)</t>
        </is>
      </c>
      <c r="D420" t="inlineStr">
        <is>
          <t>LinkedIn (Simplify auto-apply, reconciled 2026-09-06)</t>
        </is>
      </c>
      <c r="E420" t="inlineStr">
        <is>
          <t>2026-09-06</t>
        </is>
      </c>
      <c r="F420" t="inlineStr">
        <is>
          <t>2026-09-06</t>
        </is>
      </c>
      <c r="G420" t="inlineStr">
        <is>
          <t>LinkedIn job tracker status: Applied 1mo ago; location: Richmond, VA (Hybrid)</t>
        </is>
      </c>
    </row>
    <row r="421">
      <c r="A421" t="inlineStr">
        <is>
          <t>Technogen, Inc.</t>
        </is>
      </c>
      <c r="B421" t="inlineStr">
        <is>
          <t>Security Risk Assessor</t>
        </is>
      </c>
      <c r="C421" t="inlineStr">
        <is>
          <t>Applied (auto-submission via Simplify)</t>
        </is>
      </c>
      <c r="D421" t="inlineStr">
        <is>
          <t>LinkedIn (Simplify auto-apply, reconciled 2026-09-06)</t>
        </is>
      </c>
      <c r="E421" t="inlineStr">
        <is>
          <t>2026-09-06</t>
        </is>
      </c>
      <c r="F421" t="inlineStr">
        <is>
          <t>2026-09-06</t>
        </is>
      </c>
      <c r="G421" t="inlineStr">
        <is>
          <t>LinkedIn job tracker status: Applied 1mo ago; location: Canton, MA (Remote)</t>
        </is>
      </c>
    </row>
    <row r="422">
      <c r="A422" t="inlineStr">
        <is>
          <t>Weiss Ratings</t>
        </is>
      </c>
      <c r="B422" t="inlineStr">
        <is>
          <t>Crypto Analyst</t>
        </is>
      </c>
      <c r="C422" t="inlineStr">
        <is>
          <t>Applied (auto-submission via Simplify)</t>
        </is>
      </c>
      <c r="D422" t="inlineStr">
        <is>
          <t>LinkedIn (Simplify auto-apply, reconciled 2026-09-06)</t>
        </is>
      </c>
      <c r="E422" t="inlineStr">
        <is>
          <t>2026-09-06</t>
        </is>
      </c>
      <c r="F422" t="inlineStr">
        <is>
          <t>2026-09-06</t>
        </is>
      </c>
      <c r="G422" t="inlineStr">
        <is>
          <t>LinkedIn job tracker status: Applied 1mo ago; location: Palm Beach Gardens, FL (Remote)</t>
        </is>
      </c>
    </row>
    <row r="423">
      <c r="A423" t="inlineStr">
        <is>
          <t>Davis Wright Tremaine LLP</t>
        </is>
      </c>
      <c r="B423" t="inlineStr">
        <is>
          <t>Technology Investigator (Remote)</t>
        </is>
      </c>
      <c r="C423" t="inlineStr">
        <is>
          <t>Applied (auto-submission via Simplify)</t>
        </is>
      </c>
      <c r="D423" t="inlineStr">
        <is>
          <t>LinkedIn (Simplify auto-apply, reconciled 2026-09-06)</t>
        </is>
      </c>
      <c r="E423" t="inlineStr">
        <is>
          <t>2026-09-06</t>
        </is>
      </c>
      <c r="F423" t="inlineStr">
        <is>
          <t>2026-09-06</t>
        </is>
      </c>
      <c r="G423" t="inlineStr">
        <is>
          <t>LinkedIn job tracker status: Applied 2mo ago; location: Washington, United States (Remote)</t>
        </is>
      </c>
    </row>
    <row r="424">
      <c r="A424" t="inlineStr">
        <is>
          <t>Danta Technologies</t>
        </is>
      </c>
      <c r="B424" t="inlineStr">
        <is>
          <t>Cyber Strategy &amp; Advisory Consultant</t>
        </is>
      </c>
      <c r="C424" t="inlineStr">
        <is>
          <t>Applied (auto-submission via Simplify)</t>
        </is>
      </c>
      <c r="D424" t="inlineStr">
        <is>
          <t>LinkedIn (Simplify auto-apply, reconciled 2026-09-06)</t>
        </is>
      </c>
      <c r="E424" t="inlineStr">
        <is>
          <t>2026-09-06</t>
        </is>
      </c>
      <c r="F424" t="inlineStr">
        <is>
          <t>2026-09-06</t>
        </is>
      </c>
      <c r="G424" t="inlineStr">
        <is>
          <t>LinkedIn job tracker status: Applied 2mo ago; location: Dallas, TX (Remote)</t>
        </is>
      </c>
    </row>
    <row r="425">
      <c r="A425" t="inlineStr">
        <is>
          <t>Wide Effect Talent Solutions</t>
        </is>
      </c>
      <c r="B425" t="inlineStr">
        <is>
          <t>Information Technology Manager</t>
        </is>
      </c>
      <c r="C425" t="inlineStr">
        <is>
          <t>Applied (auto-submission via Simplify)</t>
        </is>
      </c>
      <c r="D425" t="inlineStr">
        <is>
          <t>LinkedIn (Simplify auto-apply, reconciled 2026-09-06)</t>
        </is>
      </c>
      <c r="E425" t="inlineStr">
        <is>
          <t>2026-09-06</t>
        </is>
      </c>
      <c r="F425" t="inlineStr">
        <is>
          <t>2026-09-06</t>
        </is>
      </c>
      <c r="G425" t="inlineStr">
        <is>
          <t>LinkedIn job tracker status: Applied 2mo ago; location: Port Washington, WI (On-site)</t>
        </is>
      </c>
    </row>
    <row r="426">
      <c r="A426" t="inlineStr">
        <is>
          <t>Tiltedge Solutions</t>
        </is>
      </c>
      <c r="B426" t="inlineStr">
        <is>
          <t>Senior Cybersecurity Analyst (Artificial Intelligence)</t>
        </is>
      </c>
      <c r="C426" t="inlineStr">
        <is>
          <t>Applied (auto-submission via Simplify)</t>
        </is>
      </c>
      <c r="D426" t="inlineStr">
        <is>
          <t>LinkedIn (Simplify auto-apply, reconciled 2026-09-06)</t>
        </is>
      </c>
      <c r="E426" t="inlineStr">
        <is>
          <t>2026-09-06</t>
        </is>
      </c>
      <c r="F426" t="inlineStr">
        <is>
          <t>2026-09-06</t>
        </is>
      </c>
      <c r="G426" t="inlineStr">
        <is>
          <t>LinkedIn job tracker status: Applied 2mo ago; location: Washington DC-Baltimore Area (On-site)</t>
        </is>
      </c>
    </row>
    <row r="427">
      <c r="A427" t="inlineStr">
        <is>
          <t>Reczu</t>
        </is>
      </c>
      <c r="B427" t="inlineStr">
        <is>
          <t>AI Governance Coordinator</t>
        </is>
      </c>
      <c r="C427" t="inlineStr">
        <is>
          <t>Applied (auto-submission via Simplify)</t>
        </is>
      </c>
      <c r="D427" t="inlineStr">
        <is>
          <t>LinkedIn (Simplify auto-apply, reconciled 2026-09-06)</t>
        </is>
      </c>
      <c r="E427" t="inlineStr">
        <is>
          <t>2026-09-06</t>
        </is>
      </c>
      <c r="F427" t="inlineStr">
        <is>
          <t>2026-09-06</t>
        </is>
      </c>
      <c r="G427" t="inlineStr">
        <is>
          <t>LinkedIn job tracker status: Applied 2mo ago; location: Virginia, United States (Remote)</t>
        </is>
      </c>
    </row>
    <row r="428">
      <c r="A428" t="inlineStr">
        <is>
          <t>Intellectt Inc</t>
        </is>
      </c>
      <c r="B428" t="inlineStr">
        <is>
          <t>Cyber Security Consultant - Medical Device</t>
        </is>
      </c>
      <c r="C428" t="inlineStr">
        <is>
          <t>Applied (auto-submission via Simplify)</t>
        </is>
      </c>
      <c r="D428" t="inlineStr">
        <is>
          <t>LinkedIn (Simplify auto-apply, reconciled 2026-09-06)</t>
        </is>
      </c>
      <c r="E428" t="inlineStr">
        <is>
          <t>2026-09-06</t>
        </is>
      </c>
      <c r="F428" t="inlineStr">
        <is>
          <t>2026-09-06</t>
        </is>
      </c>
      <c r="G428" t="inlineStr">
        <is>
          <t>LinkedIn job tracker status: Applied 2mo ago; location: United States (Remote)</t>
        </is>
      </c>
    </row>
    <row r="429">
      <c r="A429" t="inlineStr">
        <is>
          <t>Lumen Solutions Group Inc.</t>
        </is>
      </c>
      <c r="B429" t="inlineStr">
        <is>
          <t>AI Governance Coordinator</t>
        </is>
      </c>
      <c r="C429" t="inlineStr">
        <is>
          <t>Applied (auto-submission via Simplify)</t>
        </is>
      </c>
      <c r="D429" t="inlineStr">
        <is>
          <t>LinkedIn (Simplify auto-apply, reconciled 2026-09-06)</t>
        </is>
      </c>
      <c r="E429" t="inlineStr">
        <is>
          <t>2026-09-06</t>
        </is>
      </c>
      <c r="F429" t="inlineStr">
        <is>
          <t>2026-09-06</t>
        </is>
      </c>
      <c r="G429" t="inlineStr">
        <is>
          <t>LinkedIn job tracker status: Applied 2mo ago; location: Reston, VA (Remote)</t>
        </is>
      </c>
    </row>
    <row r="430">
      <c r="A430" t="inlineStr">
        <is>
          <t>Alderson Loop</t>
        </is>
      </c>
      <c r="B430" t="inlineStr">
        <is>
          <t>Technology Compliance &amp; Risk Analyst</t>
        </is>
      </c>
      <c r="C430" t="inlineStr">
        <is>
          <t>Applied (auto-submission via Simplify)</t>
        </is>
      </c>
      <c r="D430" t="inlineStr">
        <is>
          <t>LinkedIn (Simplify auto-apply, reconciled 2026-09-06)</t>
        </is>
      </c>
      <c r="E430" t="inlineStr">
        <is>
          <t>2026-09-06</t>
        </is>
      </c>
      <c r="F430" t="inlineStr">
        <is>
          <t>2026-09-06</t>
        </is>
      </c>
      <c r="G430" t="inlineStr">
        <is>
          <t>LinkedIn job tracker status: Applied 2mo ago; location: Owings Mills, MD (Hybrid)</t>
        </is>
      </c>
    </row>
    <row r="431">
      <c r="A431" t="inlineStr">
        <is>
          <t>Insight Global</t>
        </is>
      </c>
      <c r="B431" t="inlineStr">
        <is>
          <t>Information Technology Governance Manager</t>
        </is>
      </c>
      <c r="C431" t="inlineStr">
        <is>
          <t>Applied (auto-submission via Simplify)</t>
        </is>
      </c>
      <c r="D431" t="inlineStr">
        <is>
          <t>LinkedIn (Simplify auto-apply, reconciled 2026-09-06)</t>
        </is>
      </c>
      <c r="E431" t="inlineStr">
        <is>
          <t>2026-09-06</t>
        </is>
      </c>
      <c r="F431" t="inlineStr">
        <is>
          <t>2026-09-06</t>
        </is>
      </c>
      <c r="G431" t="inlineStr">
        <is>
          <t>LinkedIn job tracker status: Applied 2mo ago; location: Plano, TX (Hybrid)</t>
        </is>
      </c>
    </row>
    <row r="432">
      <c r="A432" t="inlineStr">
        <is>
          <t>Talentra</t>
        </is>
      </c>
      <c r="B432" t="inlineStr">
        <is>
          <t>Cybersecurity Program Manager</t>
        </is>
      </c>
      <c r="C432" t="inlineStr">
        <is>
          <t>Applied (auto-submission via Simplify)</t>
        </is>
      </c>
      <c r="D432" t="inlineStr">
        <is>
          <t>LinkedIn (Simplify auto-apply, reconciled 2026-09-06)</t>
        </is>
      </c>
      <c r="E432" t="inlineStr">
        <is>
          <t>2026-09-06</t>
        </is>
      </c>
      <c r="F432" t="inlineStr">
        <is>
          <t>2026-09-06</t>
        </is>
      </c>
      <c r="G432" t="inlineStr">
        <is>
          <t>LinkedIn job tracker status: Applied 2mo ago; location: Buffalo, NY (Hybrid)</t>
        </is>
      </c>
    </row>
    <row r="433">
      <c r="A433" t="inlineStr">
        <is>
          <t>DigiDoc, Inc. dba Public Sector Solutions Group</t>
        </is>
      </c>
      <c r="B433" t="inlineStr">
        <is>
          <t>AI Governance Manager</t>
        </is>
      </c>
      <c r="C433" t="inlineStr">
        <is>
          <t>Applied (auto-submission via Simplify)</t>
        </is>
      </c>
      <c r="D433" t="inlineStr">
        <is>
          <t>LinkedIn (Simplify auto-apply, reconciled 2026-09-06)</t>
        </is>
      </c>
      <c r="E433" t="inlineStr">
        <is>
          <t>2026-09-06</t>
        </is>
      </c>
      <c r="F433" t="inlineStr">
        <is>
          <t>2026-09-06</t>
        </is>
      </c>
      <c r="G433" t="inlineStr">
        <is>
          <t>LinkedIn job tracker status: Applied 2mo ago; location: Richmond, VA (Hybrid)</t>
        </is>
      </c>
    </row>
    <row r="434">
      <c r="A434" t="inlineStr">
        <is>
          <t>Roofing Corp of America</t>
        </is>
      </c>
      <c r="B434" t="inlineStr">
        <is>
          <t>AI Innovation Analyst</t>
        </is>
      </c>
      <c r="C434" t="inlineStr">
        <is>
          <t>Applied (auto-submission via Simplify)</t>
        </is>
      </c>
      <c r="D434" t="inlineStr">
        <is>
          <t>LinkedIn (Simplify auto-apply, reconciled 2026-09-06)</t>
        </is>
      </c>
      <c r="E434" t="inlineStr">
        <is>
          <t>2026-09-06</t>
        </is>
      </c>
      <c r="F434" t="inlineStr">
        <is>
          <t>2026-09-06</t>
        </is>
      </c>
      <c r="G434" t="inlineStr">
        <is>
          <t>LinkedIn job tracker status: Applied 2mo ago; location: United States (Remote)</t>
        </is>
      </c>
    </row>
    <row r="435">
      <c r="A435" t="inlineStr">
        <is>
          <t>Radiant Systems Inc</t>
        </is>
      </c>
      <c r="B435" t="inlineStr">
        <is>
          <t>Cyber Security Consultant</t>
        </is>
      </c>
      <c r="C435" t="inlineStr">
        <is>
          <t>Applied (auto-submission via Simplify)</t>
        </is>
      </c>
      <c r="D435" t="inlineStr">
        <is>
          <t>LinkedIn (Simplify auto-apply, reconciled 2026-09-06)</t>
        </is>
      </c>
      <c r="E435" t="inlineStr">
        <is>
          <t>2026-09-06</t>
        </is>
      </c>
      <c r="F435" t="inlineStr">
        <is>
          <t>2026-09-06</t>
        </is>
      </c>
      <c r="G435" t="inlineStr">
        <is>
          <t>LinkedIn job tracker status: Applied 2mo ago; location: Washington DC-Baltimore Area (On-site)</t>
        </is>
      </c>
    </row>
    <row r="436">
      <c r="A436" t="inlineStr">
        <is>
          <t>Innovatech Staffing</t>
        </is>
      </c>
      <c r="B436" t="inlineStr">
        <is>
          <t>Cyber Security Engineer</t>
        </is>
      </c>
      <c r="C436" t="inlineStr">
        <is>
          <t>Applied (auto-submission via Simplify)</t>
        </is>
      </c>
      <c r="D436" t="inlineStr">
        <is>
          <t>LinkedIn (Simplify auto-apply, reconciled 2026-09-06)</t>
        </is>
      </c>
      <c r="E436" t="inlineStr">
        <is>
          <t>2026-09-06</t>
        </is>
      </c>
      <c r="F436" t="inlineStr">
        <is>
          <t>2026-09-06</t>
        </is>
      </c>
      <c r="G436" t="inlineStr">
        <is>
          <t>LinkedIn job tracker status: Applied 2mo ago; location: United States (Remote)</t>
        </is>
      </c>
    </row>
    <row r="437">
      <c r="A437" t="inlineStr">
        <is>
          <t>Delta Computer Consulting</t>
        </is>
      </c>
      <c r="B437" t="inlineStr">
        <is>
          <t>IT QA Analyst - Privacy &amp; Website Compliance</t>
        </is>
      </c>
      <c r="C437" t="inlineStr">
        <is>
          <t>Applied (auto-submission via Simplify)</t>
        </is>
      </c>
      <c r="D437" t="inlineStr">
        <is>
          <t>LinkedIn (Simplify auto-apply, reconciled 2026-09-06)</t>
        </is>
      </c>
      <c r="E437" t="inlineStr">
        <is>
          <t>2026-09-06</t>
        </is>
      </c>
      <c r="F437" t="inlineStr">
        <is>
          <t>2026-09-06</t>
        </is>
      </c>
      <c r="G437" t="inlineStr">
        <is>
          <t>LinkedIn job tracker status: Applied 2mo ago; location: Torrance, CA (Hybrid)</t>
        </is>
      </c>
    </row>
    <row r="438">
      <c r="A438" t="inlineStr">
        <is>
          <t>Great Value Hiring</t>
        </is>
      </c>
      <c r="B438" t="inlineStr">
        <is>
          <t>Risk Specialist</t>
        </is>
      </c>
      <c r="C438" t="inlineStr">
        <is>
          <t>Applied (auto-submission via Simplify)</t>
        </is>
      </c>
      <c r="D438" t="inlineStr">
        <is>
          <t>LinkedIn (Simplify auto-apply, reconciled 2026-09-06)</t>
        </is>
      </c>
      <c r="E438" t="inlineStr">
        <is>
          <t>2026-09-06</t>
        </is>
      </c>
      <c r="F438" t="inlineStr">
        <is>
          <t>2026-09-06</t>
        </is>
      </c>
      <c r="G438" t="inlineStr">
        <is>
          <t>LinkedIn job tracker status: Applied 2mo ago; location: United States (Remote)</t>
        </is>
      </c>
    </row>
    <row r="439">
      <c r="A439" t="inlineStr">
        <is>
          <t>eTRANSERVICES</t>
        </is>
      </c>
      <c r="B439" t="inlineStr">
        <is>
          <t>ISSO/ RMF Analyst</t>
        </is>
      </c>
      <c r="C439" t="inlineStr">
        <is>
          <t>Applied (auto-submission via Simplify)</t>
        </is>
      </c>
      <c r="D439" t="inlineStr">
        <is>
          <t>LinkedIn (Simplify auto-apply, reconciled 2026-09-06)</t>
        </is>
      </c>
      <c r="E439" t="inlineStr">
        <is>
          <t>2026-09-06</t>
        </is>
      </c>
      <c r="F439" t="inlineStr">
        <is>
          <t>2026-09-06</t>
        </is>
      </c>
      <c r="G439" t="inlineStr">
        <is>
          <t>LinkedIn job tracker status: Applied 2mo ago; location: Maryland, United States (Hybrid)</t>
        </is>
      </c>
    </row>
    <row r="440">
      <c r="A440" t="inlineStr">
        <is>
          <t>Dentons Cohen &amp; Grigsby</t>
        </is>
      </c>
      <c r="B440" t="inlineStr">
        <is>
          <t>Manager of Information Technology</t>
        </is>
      </c>
      <c r="C440" t="inlineStr">
        <is>
          <t>Applied (auto-submission via Simplify)</t>
        </is>
      </c>
      <c r="D440" t="inlineStr">
        <is>
          <t>LinkedIn (Simplify auto-apply, reconciled 2026-09-06)</t>
        </is>
      </c>
      <c r="E440" t="inlineStr">
        <is>
          <t>2026-09-06</t>
        </is>
      </c>
      <c r="F440" t="inlineStr">
        <is>
          <t>2026-09-06</t>
        </is>
      </c>
      <c r="G440" t="inlineStr">
        <is>
          <t>LinkedIn job tracker status: Applied 2mo ago; location: Pittsburgh, PA (Hybrid)</t>
        </is>
      </c>
    </row>
    <row r="441">
      <c r="A441" t="inlineStr">
        <is>
          <t>D3 Search</t>
        </is>
      </c>
      <c r="B441" t="inlineStr">
        <is>
          <t>Risk Analyst</t>
        </is>
      </c>
      <c r="C441" t="inlineStr">
        <is>
          <t>Applied (auto-submission via Simplify)</t>
        </is>
      </c>
      <c r="D441" t="inlineStr">
        <is>
          <t>LinkedIn (Simplify auto-apply, reconciled 2026-09-06)</t>
        </is>
      </c>
      <c r="E441" t="inlineStr">
        <is>
          <t>2026-09-06</t>
        </is>
      </c>
      <c r="F441" t="inlineStr">
        <is>
          <t>2026-09-06</t>
        </is>
      </c>
      <c r="G441" t="inlineStr">
        <is>
          <t>LinkedIn job tracker status: Applied 2mo ago; location: Los Angeles, CA (Remote)</t>
        </is>
      </c>
    </row>
    <row r="442">
      <c r="A442" t="inlineStr">
        <is>
          <t>eTRANSERVICES</t>
        </is>
      </c>
      <c r="B442" t="inlineStr">
        <is>
          <t>Cyber Incident Responder/ Forensic Analyst</t>
        </is>
      </c>
      <c r="C442" t="inlineStr">
        <is>
          <t>Applied (auto-submission via Simplify)</t>
        </is>
      </c>
      <c r="D442" t="inlineStr">
        <is>
          <t>LinkedIn (Simplify auto-apply, reconciled 2026-09-06)</t>
        </is>
      </c>
      <c r="E442" t="inlineStr">
        <is>
          <t>2026-09-06</t>
        </is>
      </c>
      <c r="F442" t="inlineStr">
        <is>
          <t>2026-09-06</t>
        </is>
      </c>
      <c r="G442" t="inlineStr">
        <is>
          <t>LinkedIn job tracker status: Applied 2mo ago; location: Maryland, United States (Hybrid)</t>
        </is>
      </c>
    </row>
    <row r="443">
      <c r="A443" t="inlineStr">
        <is>
          <t>Wholesale Payments</t>
        </is>
      </c>
      <c r="B443" t="inlineStr">
        <is>
          <t>Director of Infrastructure</t>
        </is>
      </c>
      <c r="C443" t="inlineStr">
        <is>
          <t>Applied (auto-submission via Simplify)</t>
        </is>
      </c>
      <c r="D443" t="inlineStr">
        <is>
          <t>LinkedIn (Simplify auto-apply, reconciled 2026-09-06)</t>
        </is>
      </c>
      <c r="E443" t="inlineStr">
        <is>
          <t>2026-09-06</t>
        </is>
      </c>
      <c r="F443" t="inlineStr">
        <is>
          <t>2026-09-06</t>
        </is>
      </c>
      <c r="G443" t="inlineStr">
        <is>
          <t>LinkedIn job tracker status: Applied 2mo ago; location: Fort Worth, TX (Hybrid)</t>
        </is>
      </c>
    </row>
    <row r="444">
      <c r="A444" t="inlineStr">
        <is>
          <t>CEVA Logistics</t>
        </is>
      </c>
      <c r="B444" t="inlineStr">
        <is>
          <t>Security Operations Center Analyst (Physical Security)</t>
        </is>
      </c>
      <c r="C444" t="inlineStr">
        <is>
          <t>Applied (auto-submission via Simplify)</t>
        </is>
      </c>
      <c r="D444" t="inlineStr">
        <is>
          <t>LinkedIn (Simplify auto-apply, reconciled 2026-09-06)</t>
        </is>
      </c>
      <c r="E444" t="inlineStr">
        <is>
          <t>2026-09-06</t>
        </is>
      </c>
      <c r="F444" t="inlineStr">
        <is>
          <t>2026-09-06</t>
        </is>
      </c>
      <c r="G444" t="inlineStr">
        <is>
          <t>LinkedIn job tracker status: Applied 2mo ago; location: Houston, TX (On-site)</t>
        </is>
      </c>
    </row>
    <row r="445">
      <c r="A445" t="inlineStr">
        <is>
          <t>Globus Group</t>
        </is>
      </c>
      <c r="B445" t="inlineStr">
        <is>
          <t>IT &amp; Compliance Consultant (ISO 27001, HIPAA, SOC 2, PCI DSS, GDPR)</t>
        </is>
      </c>
      <c r="C445" t="inlineStr">
        <is>
          <t>Applied (auto-submission via Simplify)</t>
        </is>
      </c>
      <c r="D445" t="inlineStr">
        <is>
          <t>LinkedIn (Simplify auto-apply, reconciled 2026-09-06)</t>
        </is>
      </c>
      <c r="E445" t="inlineStr">
        <is>
          <t>2026-09-06</t>
        </is>
      </c>
      <c r="F445" t="inlineStr">
        <is>
          <t>2026-09-06</t>
        </is>
      </c>
      <c r="G445" t="inlineStr">
        <is>
          <t>LinkedIn job tracker status: Applied 2mo ago; location: United States (Remote)</t>
        </is>
      </c>
    </row>
    <row r="446">
      <c r="A446" t="inlineStr">
        <is>
          <t>Global Technical Talent</t>
        </is>
      </c>
      <c r="B446" t="inlineStr">
        <is>
          <t>Junior IT Security Analyst</t>
        </is>
      </c>
      <c r="C446" t="inlineStr">
        <is>
          <t>Applied (auto-submission via Simplify)</t>
        </is>
      </c>
      <c r="D446" t="inlineStr">
        <is>
          <t>LinkedIn (Simplify auto-apply, reconciled 2026-09-06)</t>
        </is>
      </c>
      <c r="E446" t="inlineStr">
        <is>
          <t>2026-09-06</t>
        </is>
      </c>
      <c r="F446" t="inlineStr">
        <is>
          <t>2026-09-06</t>
        </is>
      </c>
      <c r="G446" t="inlineStr">
        <is>
          <t>LinkedIn job tracker status: Applied 2mo ago; location: Framingham, MA (Remote)</t>
        </is>
      </c>
    </row>
    <row r="447">
      <c r="A447" t="inlineStr">
        <is>
          <t>HireClearedTalent</t>
        </is>
      </c>
      <c r="B447" t="inlineStr">
        <is>
          <t>Protocol specialist</t>
        </is>
      </c>
      <c r="C447" t="inlineStr">
        <is>
          <t>Applied (auto-submission via Simplify)</t>
        </is>
      </c>
      <c r="D447" t="inlineStr">
        <is>
          <t>LinkedIn (Simplify auto-apply, reconciled 2026-09-06)</t>
        </is>
      </c>
      <c r="E447" t="inlineStr">
        <is>
          <t>2026-09-06</t>
        </is>
      </c>
      <c r="F447" t="inlineStr">
        <is>
          <t>2026-09-06</t>
        </is>
      </c>
      <c r="G447" t="inlineStr">
        <is>
          <t>LinkedIn job tracker status: Applied 2mo ago; location: Bethesda, MD (On-site)</t>
        </is>
      </c>
    </row>
    <row r="448">
      <c r="A448" t="inlineStr">
        <is>
          <t>Digital Prospectors</t>
        </is>
      </c>
      <c r="B448" t="inlineStr">
        <is>
          <t>Information System Security Officer</t>
        </is>
      </c>
      <c r="C448" t="inlineStr">
        <is>
          <t>Applied (auto-submission via Simplify)</t>
        </is>
      </c>
      <c r="D448" t="inlineStr">
        <is>
          <t>LinkedIn (Simplify auto-apply, reconciled 2026-09-06)</t>
        </is>
      </c>
      <c r="E448" t="inlineStr">
        <is>
          <t>2026-09-06</t>
        </is>
      </c>
      <c r="F448" t="inlineStr">
        <is>
          <t>2026-09-06</t>
        </is>
      </c>
      <c r="G448" t="inlineStr">
        <is>
          <t>LinkedIn job tracker status: Applied 2mo ago; location: Lexington, MA (On-site)</t>
        </is>
      </c>
    </row>
    <row r="449">
      <c r="A449" t="inlineStr">
        <is>
          <t>City First Bank</t>
        </is>
      </c>
      <c r="B449" t="inlineStr">
        <is>
          <t>Information Security Officer</t>
        </is>
      </c>
      <c r="C449" t="inlineStr">
        <is>
          <t>Applied (auto-submission via Simplify)</t>
        </is>
      </c>
      <c r="D449" t="inlineStr">
        <is>
          <t>LinkedIn (Simplify auto-apply, reconciled 2026-09-06)</t>
        </is>
      </c>
      <c r="E449" t="inlineStr">
        <is>
          <t>2026-09-06</t>
        </is>
      </c>
      <c r="F449" t="inlineStr">
        <is>
          <t>2026-09-06</t>
        </is>
      </c>
      <c r="G449" t="inlineStr">
        <is>
          <t>LinkedIn job tracker status: Applied 2mo ago; location: Washington DC-Baltimore Area (On-site)</t>
        </is>
      </c>
    </row>
    <row r="450">
      <c r="A450" t="inlineStr">
        <is>
          <t>Bitwarden</t>
        </is>
      </c>
      <c r="B450" t="inlineStr">
        <is>
          <t>IT Security Administrator</t>
        </is>
      </c>
      <c r="C450" t="inlineStr">
        <is>
          <t>Applied (auto-submission via Simplify)</t>
        </is>
      </c>
      <c r="D450" t="inlineStr">
        <is>
          <t>LinkedIn (Simplify auto-apply, reconciled 2026-09-06)</t>
        </is>
      </c>
      <c r="E450" t="inlineStr">
        <is>
          <t>2026-09-06</t>
        </is>
      </c>
      <c r="F450" t="inlineStr">
        <is>
          <t>2026-09-06</t>
        </is>
      </c>
      <c r="G450" t="inlineStr">
        <is>
          <t>LinkedIn job tracker status: Applied 2mo ago; location: United States (Remote)</t>
        </is>
      </c>
    </row>
    <row r="451">
      <c r="A451" t="inlineStr">
        <is>
          <t>iboss</t>
        </is>
      </c>
      <c r="B451" t="inlineStr">
        <is>
          <t>Manager of Information Security and Compliance</t>
        </is>
      </c>
      <c r="C451" t="inlineStr">
        <is>
          <t>Applied (auto-submission via Simplify)</t>
        </is>
      </c>
      <c r="D451" t="inlineStr">
        <is>
          <t>LinkedIn (Simplify auto-apply, reconciled 2026-09-06)</t>
        </is>
      </c>
      <c r="E451" t="inlineStr">
        <is>
          <t>2026-09-06</t>
        </is>
      </c>
      <c r="F451" t="inlineStr">
        <is>
          <t>2026-09-06</t>
        </is>
      </c>
      <c r="G451" t="inlineStr">
        <is>
          <t>LinkedIn job tracker status: Applied 2mo ago; location: United States (Remote)</t>
        </is>
      </c>
    </row>
    <row r="452">
      <c r="A452" t="inlineStr">
        <is>
          <t>(unlisted employer)</t>
        </is>
      </c>
      <c r="B452" t="inlineStr">
        <is>
          <t>Information System Security Officer</t>
        </is>
      </c>
      <c r="C452" t="inlineStr">
        <is>
          <t>Applied (auto-submission via Simplify)</t>
        </is>
      </c>
      <c r="D452" t="inlineStr">
        <is>
          <t>LinkedIn (Simplify auto-apply, reconciled 2026-09-06)</t>
        </is>
      </c>
      <c r="E452" t="inlineStr">
        <is>
          <t>2026-09-06</t>
        </is>
      </c>
      <c r="F452" t="inlineStr">
        <is>
          <t>2026-09-06</t>
        </is>
      </c>
      <c r="G452" t="inlineStr">
        <is>
          <t>LinkedIn job tracker status: Applied 2mo ago; location: Washington DC-Baltimore Area (On-site)</t>
        </is>
      </c>
    </row>
    <row r="453">
      <c r="A453" t="inlineStr">
        <is>
          <t>Terp Techs</t>
        </is>
      </c>
      <c r="B453" t="inlineStr">
        <is>
          <t>Information Security Specialist (IAS)-IV</t>
        </is>
      </c>
      <c r="C453" t="inlineStr">
        <is>
          <t>Applied (auto-submission via Simplify)</t>
        </is>
      </c>
      <c r="D453" t="inlineStr">
        <is>
          <t>LinkedIn (Simplify auto-apply, reconciled 2026-09-06)</t>
        </is>
      </c>
      <c r="E453" t="inlineStr">
        <is>
          <t>2026-09-06</t>
        </is>
      </c>
      <c r="F453" t="inlineStr">
        <is>
          <t>2026-09-06</t>
        </is>
      </c>
      <c r="G453" t="inlineStr">
        <is>
          <t>LinkedIn job tracker status: Applied 2mo ago; location: Washington DC-Baltimore Area (On-site)</t>
        </is>
      </c>
    </row>
    <row r="454">
      <c r="A454" t="inlineStr">
        <is>
          <t>Blue Chip Talent</t>
        </is>
      </c>
      <c r="B454" t="inlineStr">
        <is>
          <t>Senior Workforce Planning Manager (Part time) - #26274</t>
        </is>
      </c>
      <c r="C454" t="inlineStr">
        <is>
          <t>Applied (auto-submission via Simplify)</t>
        </is>
      </c>
      <c r="D454" t="inlineStr">
        <is>
          <t>LinkedIn (Simplify auto-apply, reconciled 2026-09-06)</t>
        </is>
      </c>
      <c r="E454" t="inlineStr">
        <is>
          <t>2026-09-06</t>
        </is>
      </c>
      <c r="F454" t="inlineStr">
        <is>
          <t>2026-09-06</t>
        </is>
      </c>
      <c r="G454" t="inlineStr">
        <is>
          <t>LinkedIn job tracker status: Applied 2mo ago; location: Detroit Metropolitan Area (Hybrid)</t>
        </is>
      </c>
    </row>
    <row r="455">
      <c r="A455" t="inlineStr">
        <is>
          <t>Medical Mutual</t>
        </is>
      </c>
      <c r="B455" t="inlineStr">
        <is>
          <t>Senior Security Engineer</t>
        </is>
      </c>
      <c r="C455" t="inlineStr">
        <is>
          <t>Applied (auto-submission via Simplify)</t>
        </is>
      </c>
      <c r="D455" t="inlineStr">
        <is>
          <t>LinkedIn (Simplify auto-apply, reconciled 2026-09-06)</t>
        </is>
      </c>
      <c r="E455" t="inlineStr">
        <is>
          <t>2026-09-06</t>
        </is>
      </c>
      <c r="F455" t="inlineStr">
        <is>
          <t>2026-09-06</t>
        </is>
      </c>
      <c r="G455" t="inlineStr">
        <is>
          <t>LinkedIn job tracker status: Applied 2mo ago; location: Dublin, OH (Hybrid)</t>
        </is>
      </c>
    </row>
    <row r="456">
      <c r="A456" t="inlineStr">
        <is>
          <t>AgroLiquid</t>
        </is>
      </c>
      <c r="B456" t="inlineStr">
        <is>
          <t>Information Technology Security Specialist</t>
        </is>
      </c>
      <c r="C456" t="inlineStr">
        <is>
          <t>Applied (auto-submission via Simplify)</t>
        </is>
      </c>
      <c r="D456" t="inlineStr">
        <is>
          <t>LinkedIn (Simplify auto-apply, reconciled 2026-09-06)</t>
        </is>
      </c>
      <c r="E456" t="inlineStr">
        <is>
          <t>2026-09-06</t>
        </is>
      </c>
      <c r="F456" t="inlineStr">
        <is>
          <t>2026-09-06</t>
        </is>
      </c>
      <c r="G456" t="inlineStr">
        <is>
          <t>LinkedIn job tracker status: Applied 2mo ago; location: St Johns, MI (On-site)</t>
        </is>
      </c>
    </row>
    <row r="457">
      <c r="A457" t="inlineStr">
        <is>
          <t>Forbes Technical Consulting</t>
        </is>
      </c>
      <c r="B457" t="inlineStr">
        <is>
          <t>Information Security Lead</t>
        </is>
      </c>
      <c r="C457" t="inlineStr">
        <is>
          <t>Applied (auto-submission via Simplify)</t>
        </is>
      </c>
      <c r="D457" t="inlineStr">
        <is>
          <t>LinkedIn (Simplify auto-apply, reconciled 2026-09-06)</t>
        </is>
      </c>
      <c r="E457" t="inlineStr">
        <is>
          <t>2026-09-06</t>
        </is>
      </c>
      <c r="F457" t="inlineStr">
        <is>
          <t>2026-09-06</t>
        </is>
      </c>
      <c r="G457" t="inlineStr">
        <is>
          <t>LinkedIn job tracker status: Applied 2mo ago; location: Chicago, IL (Hybrid)</t>
        </is>
      </c>
    </row>
    <row r="458">
      <c r="A458" t="inlineStr">
        <is>
          <t>Eccalon, LLC</t>
        </is>
      </c>
      <c r="B458" t="inlineStr">
        <is>
          <t>Cyber Security Specialist</t>
        </is>
      </c>
      <c r="C458" t="inlineStr">
        <is>
          <t>Applied (auto-submission via Simplify)</t>
        </is>
      </c>
      <c r="D458" t="inlineStr">
        <is>
          <t>LinkedIn (Simplify auto-apply, reconciled 2026-09-06)</t>
        </is>
      </c>
      <c r="E458" t="inlineStr">
        <is>
          <t>2026-09-06</t>
        </is>
      </c>
      <c r="F458" t="inlineStr">
        <is>
          <t>2026-09-06</t>
        </is>
      </c>
      <c r="G458" t="inlineStr">
        <is>
          <t>LinkedIn job tracker status: Applied 2mo ago; location: Detroit Metropolitan Area (On-site)</t>
        </is>
      </c>
    </row>
    <row r="459">
      <c r="A459" t="inlineStr">
        <is>
          <t>G-TECH Services LLC</t>
        </is>
      </c>
      <c r="B459" t="inlineStr">
        <is>
          <t>IT Security Specialist I</t>
        </is>
      </c>
      <c r="C459" t="inlineStr">
        <is>
          <t>Applied (auto-submission via Simplify)</t>
        </is>
      </c>
      <c r="D459" t="inlineStr">
        <is>
          <t>LinkedIn (Simplify auto-apply, reconciled 2026-09-06)</t>
        </is>
      </c>
      <c r="E459" t="inlineStr">
        <is>
          <t>2026-09-06</t>
        </is>
      </c>
      <c r="F459" t="inlineStr">
        <is>
          <t>2026-09-06</t>
        </is>
      </c>
      <c r="G459" t="inlineStr">
        <is>
          <t>LinkedIn job tracker status: Applied 2mo ago; location: Detroit, MI (On-site)</t>
        </is>
      </c>
    </row>
    <row r="460">
      <c r="A460" t="inlineStr">
        <is>
          <t>EZCORP</t>
        </is>
      </c>
      <c r="B460" t="inlineStr">
        <is>
          <t>Cyber and AI Risk Specialist</t>
        </is>
      </c>
      <c r="C460" t="inlineStr">
        <is>
          <t>Applied (auto-submission via Simplify)</t>
        </is>
      </c>
      <c r="D460" t="inlineStr">
        <is>
          <t>LinkedIn (Simplify auto-apply, reconciled 2026-09-06)</t>
        </is>
      </c>
      <c r="E460" t="inlineStr">
        <is>
          <t>2026-09-06</t>
        </is>
      </c>
      <c r="F460" t="inlineStr">
        <is>
          <t>2026-09-06</t>
        </is>
      </c>
      <c r="G460" t="inlineStr">
        <is>
          <t>LinkedIn job tracker status: Applied 2mo ago; location: Austin, Texas Metropolitan Area (Remote)</t>
        </is>
      </c>
    </row>
    <row r="461">
      <c r="A461" t="inlineStr">
        <is>
          <t>(unlisted employer)</t>
        </is>
      </c>
      <c r="B461" t="inlineStr">
        <is>
          <t>CMMC Assessor</t>
        </is>
      </c>
      <c r="C461" t="inlineStr">
        <is>
          <t>Applied (auto-submission via Simplify)</t>
        </is>
      </c>
      <c r="D461" t="inlineStr">
        <is>
          <t>LinkedIn (Simplify auto-apply, reconciled 2026-09-06)</t>
        </is>
      </c>
      <c r="E461" t="inlineStr">
        <is>
          <t>2026-09-06</t>
        </is>
      </c>
      <c r="F461" t="inlineStr">
        <is>
          <t>2026-09-06</t>
        </is>
      </c>
      <c r="G461" t="inlineStr">
        <is>
          <t>LinkedIn job tracker status: Applied 2mo ago; location: Maryland, United States (Remote)</t>
        </is>
      </c>
    </row>
    <row r="462">
      <c r="A462" t="inlineStr">
        <is>
          <t>South 6</t>
        </is>
      </c>
      <c r="B462" t="inlineStr">
        <is>
          <t>Computer Forensic Examiner</t>
        </is>
      </c>
      <c r="C462" t="inlineStr">
        <is>
          <t>Applied (auto-submission via Simplify)</t>
        </is>
      </c>
      <c r="D462" t="inlineStr">
        <is>
          <t>LinkedIn (Simplify auto-apply, reconciled 2026-09-06)</t>
        </is>
      </c>
      <c r="E462" t="inlineStr">
        <is>
          <t>2026-09-06</t>
        </is>
      </c>
      <c r="F462" t="inlineStr">
        <is>
          <t>2026-09-06</t>
        </is>
      </c>
      <c r="G462" t="inlineStr">
        <is>
          <t>LinkedIn job tracker status: Applied 2mo ago; location: United States (Remote)</t>
        </is>
      </c>
    </row>
    <row r="463">
      <c r="A463" t="inlineStr">
        <is>
          <t>NeuPerspective</t>
        </is>
      </c>
      <c r="B463" t="inlineStr">
        <is>
          <t>AI &amp; Technology Lead Instructor</t>
        </is>
      </c>
      <c r="C463" t="inlineStr">
        <is>
          <t>Applied (auto-submission via Simplify)</t>
        </is>
      </c>
      <c r="D463" t="inlineStr">
        <is>
          <t>LinkedIn (Simplify auto-apply, reconciled 2026-09-06)</t>
        </is>
      </c>
      <c r="E463" t="inlineStr">
        <is>
          <t>2026-09-06</t>
        </is>
      </c>
      <c r="F463" t="inlineStr">
        <is>
          <t>2026-09-06</t>
        </is>
      </c>
      <c r="G463" t="inlineStr">
        <is>
          <t>LinkedIn job tracker status: Applied 2mo ago; location: Washington, DC (On-site)</t>
        </is>
      </c>
    </row>
    <row r="464">
      <c r="A464" t="inlineStr">
        <is>
          <t>MissionWise</t>
        </is>
      </c>
      <c r="B464" t="inlineStr">
        <is>
          <t>Director of Cybersecurity Programs</t>
        </is>
      </c>
      <c r="C464" t="inlineStr">
        <is>
          <t>Applied (auto-submission via Simplify)</t>
        </is>
      </c>
      <c r="D464" t="inlineStr">
        <is>
          <t>LinkedIn (Simplify auto-apply, reconciled 2026-09-06)</t>
        </is>
      </c>
      <c r="E464" t="inlineStr">
        <is>
          <t>2026-09-06</t>
        </is>
      </c>
      <c r="F464" t="inlineStr">
        <is>
          <t>2026-09-06</t>
        </is>
      </c>
      <c r="G464" t="inlineStr">
        <is>
          <t>LinkedIn job tracker status: Applied 2mo ago; location: United States (Remote)</t>
        </is>
      </c>
    </row>
    <row r="465">
      <c r="A465" t="inlineStr">
        <is>
          <t>Coalfire Systems, Inc.</t>
        </is>
      </c>
      <c r="B465" t="inlineStr">
        <is>
          <t>Security Engineer (Splunk)</t>
        </is>
      </c>
      <c r="C465" t="inlineStr">
        <is>
          <t>Applied (auto-submission via Simplify)</t>
        </is>
      </c>
      <c r="D465" t="inlineStr">
        <is>
          <t>LinkedIn (Simplify auto-apply, reconciled 2026-09-06)</t>
        </is>
      </c>
      <c r="E465" t="inlineStr">
        <is>
          <t>2026-09-06</t>
        </is>
      </c>
      <c r="F465" t="inlineStr">
        <is>
          <t>2026-09-06</t>
        </is>
      </c>
      <c r="G465" t="inlineStr">
        <is>
          <t>LinkedIn job tracker status: Applied 2mo ago; location: United States (Remote)</t>
        </is>
      </c>
    </row>
    <row r="466">
      <c r="A466" t="inlineStr">
        <is>
          <t>Versar Global Solutions</t>
        </is>
      </c>
      <c r="B466" t="inlineStr">
        <is>
          <t>Cybersecurity (RMF &amp; Compliance)</t>
        </is>
      </c>
      <c r="C466" t="inlineStr">
        <is>
          <t>Applied (auto-submission via Simplify)</t>
        </is>
      </c>
      <c r="D466" t="inlineStr">
        <is>
          <t>LinkedIn (Simplify auto-apply, reconciled 2026-09-06)</t>
        </is>
      </c>
      <c r="E466" t="inlineStr">
        <is>
          <t>2026-09-06</t>
        </is>
      </c>
      <c r="F466" t="inlineStr">
        <is>
          <t>2026-09-06</t>
        </is>
      </c>
      <c r="G466" t="inlineStr">
        <is>
          <t>LinkedIn job tracker status: Applied 2mo ago; location: Newport News, VA (Hybrid)</t>
        </is>
      </c>
    </row>
    <row r="467">
      <c r="A467" t="inlineStr">
        <is>
          <t>MGT</t>
        </is>
      </c>
      <c r="B467" t="inlineStr">
        <is>
          <t>Forensic Analyst</t>
        </is>
      </c>
      <c r="C467" t="inlineStr">
        <is>
          <t>Applied (auto-submission via Simplify)</t>
        </is>
      </c>
      <c r="D467" t="inlineStr">
        <is>
          <t>LinkedIn (Simplify auto-apply, reconciled 2026-09-06)</t>
        </is>
      </c>
      <c r="E467" t="inlineStr">
        <is>
          <t>2026-09-06</t>
        </is>
      </c>
      <c r="F467" t="inlineStr">
        <is>
          <t>2026-09-06</t>
        </is>
      </c>
      <c r="G467" t="inlineStr">
        <is>
          <t>LinkedIn job tracker status: Applied 2mo ago; location: West Olive, MI (On-site)</t>
        </is>
      </c>
    </row>
    <row r="468">
      <c r="A468" t="inlineStr">
        <is>
          <t>COGENT DATA SOLUTIONS LLC</t>
        </is>
      </c>
      <c r="B468" t="inlineStr">
        <is>
          <t>Network Security Analyst - Vulnerability Management Analyst</t>
        </is>
      </c>
      <c r="C468" t="inlineStr">
        <is>
          <t>Applied (auto-submission via Simplify)</t>
        </is>
      </c>
      <c r="D468" t="inlineStr">
        <is>
          <t>LinkedIn (Simplify auto-apply, reconciled 2026-09-06)</t>
        </is>
      </c>
      <c r="E468" t="inlineStr">
        <is>
          <t>2026-09-06</t>
        </is>
      </c>
      <c r="F468" t="inlineStr">
        <is>
          <t>2026-09-06</t>
        </is>
      </c>
      <c r="G468" t="inlineStr">
        <is>
          <t>LinkedIn job tracker status: Applied 2mo ago; location: Austin, TX (Hybrid)</t>
        </is>
      </c>
    </row>
    <row r="469">
      <c r="A469" t="inlineStr">
        <is>
          <t>Specialized Recruiting Group - Metro East Area, Illinois</t>
        </is>
      </c>
      <c r="B469" t="inlineStr">
        <is>
          <t>Information Technology Manager</t>
        </is>
      </c>
      <c r="C469" t="inlineStr">
        <is>
          <t>Applied (auto-submission via Simplify)</t>
        </is>
      </c>
      <c r="D469" t="inlineStr">
        <is>
          <t>LinkedIn (Simplify auto-apply, reconciled 2026-09-06)</t>
        </is>
      </c>
      <c r="E469" t="inlineStr">
        <is>
          <t>2026-09-06</t>
        </is>
      </c>
      <c r="F469" t="inlineStr">
        <is>
          <t>2026-09-06</t>
        </is>
      </c>
      <c r="G469" t="inlineStr">
        <is>
          <t>LinkedIn job tracker status: Applied 2mo ago; location: Collinsville, IL (On-site)</t>
        </is>
      </c>
    </row>
    <row r="470">
      <c r="A470" t="inlineStr">
        <is>
          <t>InterSources Inc</t>
        </is>
      </c>
      <c r="B470" t="inlineStr">
        <is>
          <t>Security Analyst</t>
        </is>
      </c>
      <c r="C470" t="inlineStr">
        <is>
          <t>Applied (auto-submission via Simplify)</t>
        </is>
      </c>
      <c r="D470" t="inlineStr">
        <is>
          <t>LinkedIn (Simplify auto-apply, reconciled 2026-09-06)</t>
        </is>
      </c>
      <c r="E470" t="inlineStr">
        <is>
          <t>2026-09-06</t>
        </is>
      </c>
      <c r="F470" t="inlineStr">
        <is>
          <t>2026-09-06</t>
        </is>
      </c>
      <c r="G470" t="inlineStr">
        <is>
          <t>LinkedIn job tracker status: Applied 2mo ago; location: Columbia, SC (On-site)</t>
        </is>
      </c>
    </row>
    <row r="471">
      <c r="A471" t="inlineStr">
        <is>
          <t>Strategic Staffing Solutions</t>
        </is>
      </c>
      <c r="B471" t="inlineStr">
        <is>
          <t>Information Security Engineer</t>
        </is>
      </c>
      <c r="C471" t="inlineStr">
        <is>
          <t>Applied (auto-submission via Simplify)</t>
        </is>
      </c>
      <c r="D471" t="inlineStr">
        <is>
          <t>LinkedIn (Simplify auto-apply, reconciled 2026-09-06)</t>
        </is>
      </c>
      <c r="E471" t="inlineStr">
        <is>
          <t>2026-09-06</t>
        </is>
      </c>
      <c r="F471" t="inlineStr">
        <is>
          <t>2026-09-06</t>
        </is>
      </c>
      <c r="G471" t="inlineStr">
        <is>
          <t>LinkedIn job tracker status: Applied 2mo ago; location: Charlotte, NC (Hybrid)</t>
        </is>
      </c>
    </row>
    <row r="472">
      <c r="A472" t="inlineStr">
        <is>
          <t>General Transportation Inc.</t>
        </is>
      </c>
      <c r="B472" t="inlineStr">
        <is>
          <t>Information Technology Manager</t>
        </is>
      </c>
      <c r="C472" t="inlineStr">
        <is>
          <t>Applied (auto-submission via Simplify)</t>
        </is>
      </c>
      <c r="D472" t="inlineStr">
        <is>
          <t>LinkedIn (Simplify auto-apply, reconciled 2026-09-06)</t>
        </is>
      </c>
      <c r="E472" t="inlineStr">
        <is>
          <t>2026-09-06</t>
        </is>
      </c>
      <c r="F472" t="inlineStr">
        <is>
          <t>2026-09-06</t>
        </is>
      </c>
      <c r="G472" t="inlineStr">
        <is>
          <t>LinkedIn job tracker status: Applied 2mo ago; location: Fort Smith, AR (Hybrid)</t>
        </is>
      </c>
    </row>
    <row r="473">
      <c r="A473" t="inlineStr">
        <is>
          <t>Dwelling Place</t>
        </is>
      </c>
      <c r="B473" t="inlineStr">
        <is>
          <t>Senior Compliance Manager</t>
        </is>
      </c>
      <c r="C473" t="inlineStr">
        <is>
          <t>Applied (auto-submission via Simplify)</t>
        </is>
      </c>
      <c r="D473" t="inlineStr">
        <is>
          <t>LinkedIn (Simplify auto-apply, reconciled 2026-09-06)</t>
        </is>
      </c>
      <c r="E473" t="inlineStr">
        <is>
          <t>2026-09-06</t>
        </is>
      </c>
      <c r="F473" t="inlineStr">
        <is>
          <t>2026-09-06</t>
        </is>
      </c>
      <c r="G473" t="inlineStr">
        <is>
          <t>LinkedIn job tracker status: Applied 2mo ago; location: Grand Rapids, MI (Hybrid)</t>
        </is>
      </c>
    </row>
    <row r="474">
      <c r="A474" t="inlineStr">
        <is>
          <t>(unlisted employer)</t>
        </is>
      </c>
      <c r="B474" t="inlineStr">
        <is>
          <t>Cyber Security Lead</t>
        </is>
      </c>
      <c r="C474" t="inlineStr">
        <is>
          <t>Applied (auto-submission via Simplify)</t>
        </is>
      </c>
      <c r="D474" t="inlineStr">
        <is>
          <t>LinkedIn (Simplify auto-apply, reconciled 2026-09-06)</t>
        </is>
      </c>
      <c r="E474" t="inlineStr">
        <is>
          <t>2026-09-06</t>
        </is>
      </c>
      <c r="F474" t="inlineStr">
        <is>
          <t>2026-09-06</t>
        </is>
      </c>
      <c r="G474" t="inlineStr">
        <is>
          <t>LinkedIn job tracker status: Applied 2mo ago; location: Detroit Metropolitan Area (On-site)</t>
        </is>
      </c>
    </row>
    <row r="475">
      <c r="A475" t="inlineStr">
        <is>
          <t>Skechers</t>
        </is>
      </c>
      <c r="B475" t="inlineStr">
        <is>
          <t>Manager, Cybersecurity Operations</t>
        </is>
      </c>
      <c r="C475" t="inlineStr">
        <is>
          <t>Applied (auto-submission via Simplify)</t>
        </is>
      </c>
      <c r="D475" t="inlineStr">
        <is>
          <t>LinkedIn (Simplify auto-apply, reconciled 2026-09-06)</t>
        </is>
      </c>
      <c r="E475" t="inlineStr">
        <is>
          <t>2026-09-06</t>
        </is>
      </c>
      <c r="F475" t="inlineStr">
        <is>
          <t>2026-09-06</t>
        </is>
      </c>
      <c r="G475" t="inlineStr">
        <is>
          <t>LinkedIn job tracker status: Applied 2mo ago; location: Manhattan Beach, CA (Hybrid)</t>
        </is>
      </c>
    </row>
    <row r="476">
      <c r="A476" t="inlineStr">
        <is>
          <t>Giesecke+Devrient</t>
        </is>
      </c>
      <c r="B476" t="inlineStr">
        <is>
          <t>IT Security Administrator III</t>
        </is>
      </c>
      <c r="C476" t="inlineStr">
        <is>
          <t>Applied (auto-submission via Simplify)</t>
        </is>
      </c>
      <c r="D476" t="inlineStr">
        <is>
          <t>LinkedIn (Simplify auto-apply, reconciled 2026-09-06)</t>
        </is>
      </c>
      <c r="E476" t="inlineStr">
        <is>
          <t>2026-09-06</t>
        </is>
      </c>
      <c r="F476" t="inlineStr">
        <is>
          <t>2026-09-06</t>
        </is>
      </c>
      <c r="G476" t="inlineStr">
        <is>
          <t>LinkedIn job tracker status: Applied 3mo ago; location: Bolingbrook, IL (On-site)</t>
        </is>
      </c>
    </row>
    <row r="477">
      <c r="A477" t="inlineStr">
        <is>
          <t>talisman</t>
        </is>
      </c>
      <c r="B477" t="inlineStr">
        <is>
          <t>Director of Data Center Development</t>
        </is>
      </c>
      <c r="C477" t="inlineStr">
        <is>
          <t>Applied (auto-submission via Simplify)</t>
        </is>
      </c>
      <c r="D477" t="inlineStr">
        <is>
          <t>LinkedIn (Simplify auto-apply, reconciled 2026-09-06)</t>
        </is>
      </c>
      <c r="E477" t="inlineStr">
        <is>
          <t>2026-09-06</t>
        </is>
      </c>
      <c r="F477" t="inlineStr">
        <is>
          <t>2026-09-06</t>
        </is>
      </c>
      <c r="G477" t="inlineStr">
        <is>
          <t>LinkedIn job tracker status: Applied 3mo ago; location: United States (Remote)</t>
        </is>
      </c>
    </row>
    <row r="478">
      <c r="A478" t="inlineStr">
        <is>
          <t>Phaxis</t>
        </is>
      </c>
      <c r="B478" t="inlineStr">
        <is>
          <t>IT Security Manager</t>
        </is>
      </c>
      <c r="C478" t="inlineStr">
        <is>
          <t>Applied (auto-submission via Simplify)</t>
        </is>
      </c>
      <c r="D478" t="inlineStr">
        <is>
          <t>LinkedIn (Simplify auto-apply, reconciled 2026-09-06)</t>
        </is>
      </c>
      <c r="E478" t="inlineStr">
        <is>
          <t>2026-09-06</t>
        </is>
      </c>
      <c r="F478" t="inlineStr">
        <is>
          <t>2026-09-06</t>
        </is>
      </c>
      <c r="G478" t="inlineStr">
        <is>
          <t>LinkedIn job tracker status: Applied 3mo ago; location: New York, NY (Hybrid)</t>
        </is>
      </c>
    </row>
    <row r="479">
      <c r="A479" t="inlineStr">
        <is>
          <t>Hadron Energy, Inc.</t>
        </is>
      </c>
      <c r="B479" t="inlineStr">
        <is>
          <t>Cyber Security Analyst</t>
        </is>
      </c>
      <c r="C479" t="inlineStr">
        <is>
          <t>Applied (auto-submission via Simplify)</t>
        </is>
      </c>
      <c r="D479" t="inlineStr">
        <is>
          <t>LinkedIn (Simplify auto-apply, reconciled 2026-09-06)</t>
        </is>
      </c>
      <c r="E479" t="inlineStr">
        <is>
          <t>2026-09-06</t>
        </is>
      </c>
      <c r="F479" t="inlineStr">
        <is>
          <t>2026-09-06</t>
        </is>
      </c>
      <c r="G479" t="inlineStr">
        <is>
          <t>LinkedIn job tracker status: Applied 3mo ago; location: United States (Remote)</t>
        </is>
      </c>
    </row>
    <row r="480">
      <c r="A480" t="inlineStr">
        <is>
          <t>Qualified Health</t>
        </is>
      </c>
      <c r="B480" t="inlineStr">
        <is>
          <t>IT / Security Operations Analyst</t>
        </is>
      </c>
      <c r="C480" t="inlineStr">
        <is>
          <t>Applied (auto-submission via Simplify)</t>
        </is>
      </c>
      <c r="D480" t="inlineStr">
        <is>
          <t>LinkedIn (Simplify auto-apply, reconciled 2026-09-06)</t>
        </is>
      </c>
      <c r="E480" t="inlineStr">
        <is>
          <t>2026-09-06</t>
        </is>
      </c>
      <c r="F480" t="inlineStr">
        <is>
          <t>2026-09-06</t>
        </is>
      </c>
      <c r="G480" t="inlineStr">
        <is>
          <t>LinkedIn job tracker status: Applied 3mo ago; location: United States (Remote)</t>
        </is>
      </c>
    </row>
    <row r="481">
      <c r="A481" t="inlineStr">
        <is>
          <t>Resilience</t>
        </is>
      </c>
      <c r="B481" t="inlineStr">
        <is>
          <t>Sr. Analyst- Cyber Loss Control</t>
        </is>
      </c>
      <c r="C481" t="inlineStr">
        <is>
          <t>Applied (auto-submission via Simplify)</t>
        </is>
      </c>
      <c r="D481" t="inlineStr">
        <is>
          <t>LinkedIn (Simplify auto-apply, reconciled 2026-09-06)</t>
        </is>
      </c>
      <c r="E481" t="inlineStr">
        <is>
          <t>2026-09-06</t>
        </is>
      </c>
      <c r="F481" t="inlineStr">
        <is>
          <t>2026-09-06</t>
        </is>
      </c>
      <c r="G481" t="inlineStr">
        <is>
          <t>LinkedIn job tracker status: Applied 3mo ago; location: United States (Remote)</t>
        </is>
      </c>
    </row>
    <row r="482">
      <c r="A482" t="inlineStr">
        <is>
          <t>Arcova, formerly MorganFranklin Cyber Team</t>
        </is>
      </c>
      <c r="B482" t="inlineStr">
        <is>
          <t>Vulnerability Management Analyst</t>
        </is>
      </c>
      <c r="C482" t="inlineStr">
        <is>
          <t>Applied (auto-submission via Simplify)</t>
        </is>
      </c>
      <c r="D482" t="inlineStr">
        <is>
          <t>LinkedIn (Simplify auto-apply, reconciled 2026-09-06)</t>
        </is>
      </c>
      <c r="E482" t="inlineStr">
        <is>
          <t>2026-09-06</t>
        </is>
      </c>
      <c r="F482" t="inlineStr">
        <is>
          <t>2026-09-06</t>
        </is>
      </c>
      <c r="G482" t="inlineStr">
        <is>
          <t>LinkedIn job tracker status: Applied 3mo ago; location: United States (Remote)</t>
        </is>
      </c>
    </row>
    <row r="483">
      <c r="A483" t="inlineStr">
        <is>
          <t>Titan America</t>
        </is>
      </c>
      <c r="B483" t="inlineStr">
        <is>
          <t>Information Security Manager</t>
        </is>
      </c>
      <c r="C483" t="inlineStr">
        <is>
          <t>Applied (auto-submission via Simplify)</t>
        </is>
      </c>
      <c r="D483" t="inlineStr">
        <is>
          <t>LinkedIn (Simplify auto-apply, reconciled 2026-09-06)</t>
        </is>
      </c>
      <c r="E483" t="inlineStr">
        <is>
          <t>2026-09-06</t>
        </is>
      </c>
      <c r="F483" t="inlineStr">
        <is>
          <t>2026-09-06</t>
        </is>
      </c>
      <c r="G483" t="inlineStr">
        <is>
          <t>LinkedIn job tracker status: Applied 3mo ago; location: Norfolk, VA (On-site)</t>
        </is>
      </c>
    </row>
    <row r="484">
      <c r="A484" t="inlineStr">
        <is>
          <t>HireNetworks</t>
        </is>
      </c>
      <c r="B484" t="inlineStr">
        <is>
          <t>Information Security Officer</t>
        </is>
      </c>
      <c r="C484" t="inlineStr">
        <is>
          <t>Applied (auto-submission via Simplify)</t>
        </is>
      </c>
      <c r="D484" t="inlineStr">
        <is>
          <t>LinkedIn (Simplify auto-apply, reconciled 2026-09-06)</t>
        </is>
      </c>
      <c r="E484" t="inlineStr">
        <is>
          <t>2026-09-06</t>
        </is>
      </c>
      <c r="F484" t="inlineStr">
        <is>
          <t>2026-09-06</t>
        </is>
      </c>
      <c r="G484" t="inlineStr">
        <is>
          <t>LinkedIn job tracker status: Applied 3mo ago; location: Durham, NC (On-site)</t>
        </is>
      </c>
    </row>
    <row r="485">
      <c r="A485" t="inlineStr">
        <is>
          <t>Stone Search, LLC</t>
        </is>
      </c>
      <c r="B485" t="inlineStr">
        <is>
          <t>Security/CyberArk Engineer- On-site/local only</t>
        </is>
      </c>
      <c r="C485" t="inlineStr">
        <is>
          <t>Applied (auto-submission via Simplify)</t>
        </is>
      </c>
      <c r="D485" t="inlineStr">
        <is>
          <t>LinkedIn (Simplify auto-apply, reconciled 2026-09-06)</t>
        </is>
      </c>
      <c r="E485" t="inlineStr">
        <is>
          <t>2026-09-06</t>
        </is>
      </c>
      <c r="F485" t="inlineStr">
        <is>
          <t>2026-09-06</t>
        </is>
      </c>
      <c r="G485" t="inlineStr">
        <is>
          <t>LinkedIn job tracker status: Applied 3mo ago; location: Foxborough (Foxboro), MA (On-site)</t>
        </is>
      </c>
    </row>
    <row r="486">
      <c r="A486" t="inlineStr">
        <is>
          <t>Franklin Fitch</t>
        </is>
      </c>
      <c r="B486" t="inlineStr">
        <is>
          <t>Manager Information Security Compliance</t>
        </is>
      </c>
      <c r="C486" t="inlineStr">
        <is>
          <t>Applied (auto-submission via Simplify)</t>
        </is>
      </c>
      <c r="D486" t="inlineStr">
        <is>
          <t>LinkedIn (Simplify auto-apply, reconciled 2026-09-06)</t>
        </is>
      </c>
      <c r="E486" t="inlineStr">
        <is>
          <t>2026-09-06</t>
        </is>
      </c>
      <c r="F486" t="inlineStr">
        <is>
          <t>2026-09-06</t>
        </is>
      </c>
      <c r="G486" t="inlineStr">
        <is>
          <t>LinkedIn job tracker status: Applied 3mo ago; location: Boston, MA (Hybrid)</t>
        </is>
      </c>
    </row>
    <row r="487">
      <c r="A487" t="inlineStr">
        <is>
          <t>Applied Research Solutions</t>
        </is>
      </c>
      <c r="B487" t="inlineStr">
        <is>
          <t>Security Manager</t>
        </is>
      </c>
      <c r="C487" t="inlineStr">
        <is>
          <t>Applied (auto-submission via Simplify)</t>
        </is>
      </c>
      <c r="D487" t="inlineStr">
        <is>
          <t>LinkedIn (Simplify auto-apply, reconciled 2026-09-06)</t>
        </is>
      </c>
      <c r="E487" t="inlineStr">
        <is>
          <t>2026-09-06</t>
        </is>
      </c>
      <c r="F487" t="inlineStr">
        <is>
          <t>2026-09-06</t>
        </is>
      </c>
      <c r="G487" t="inlineStr">
        <is>
          <t>LinkedIn job tracker status: Applied 3mo ago; location: Dayton, OH (On-site)</t>
        </is>
      </c>
    </row>
    <row r="488">
      <c r="A488" t="inlineStr">
        <is>
          <t>Talladega College</t>
        </is>
      </c>
      <c r="B488" t="inlineStr">
        <is>
          <t>Adjunct Instructor Pool - English, History, and Humanities (Only)</t>
        </is>
      </c>
      <c r="C488" t="inlineStr">
        <is>
          <t>Applied (auto-submission via Simplify)</t>
        </is>
      </c>
      <c r="D488" t="inlineStr">
        <is>
          <t>LinkedIn (Simplify auto-apply, reconciled 2026-09-06)</t>
        </is>
      </c>
      <c r="E488" t="inlineStr">
        <is>
          <t>2026-09-06</t>
        </is>
      </c>
      <c r="F488" t="inlineStr">
        <is>
          <t>2026-09-06</t>
        </is>
      </c>
      <c r="G488" t="inlineStr">
        <is>
          <t>LinkedIn job tracker status: Applied 3mo ago; location: Talladega, AL (On-site)</t>
        </is>
      </c>
    </row>
    <row r="489">
      <c r="A489" t="inlineStr">
        <is>
          <t>Propelex</t>
        </is>
      </c>
      <c r="B489" t="inlineStr">
        <is>
          <t>Cybersecurity Risk Management &amp; GRC Senior Consultant</t>
        </is>
      </c>
      <c r="C489" t="inlineStr">
        <is>
          <t>Applied (auto-submission via Simplify)</t>
        </is>
      </c>
      <c r="D489" t="inlineStr">
        <is>
          <t>LinkedIn (Simplify auto-apply, reconciled 2026-09-06)</t>
        </is>
      </c>
      <c r="E489" t="inlineStr">
        <is>
          <t>2026-09-06</t>
        </is>
      </c>
      <c r="F489" t="inlineStr">
        <is>
          <t>2026-09-06</t>
        </is>
      </c>
      <c r="G489" t="inlineStr">
        <is>
          <t>LinkedIn job tracker status: Applied 3mo ago; location: United States (Remote)</t>
        </is>
      </c>
    </row>
    <row r="490">
      <c r="A490" t="inlineStr">
        <is>
          <t>Vantage Specialty Chemicals</t>
        </is>
      </c>
      <c r="B490" t="inlineStr">
        <is>
          <t>IT Governance, Risk, Compliance &amp; Change Manager</t>
        </is>
      </c>
      <c r="C490" t="inlineStr">
        <is>
          <t>Applied (auto-submission via Simplify)</t>
        </is>
      </c>
      <c r="D490" t="inlineStr">
        <is>
          <t>LinkedIn (Simplify auto-apply, reconciled 2026-09-06)</t>
        </is>
      </c>
      <c r="E490" t="inlineStr">
        <is>
          <t>2026-09-06</t>
        </is>
      </c>
      <c r="F490" t="inlineStr">
        <is>
          <t>2026-09-06</t>
        </is>
      </c>
      <c r="G490" t="inlineStr">
        <is>
          <t>LinkedIn job tracker status: Applied 3mo ago; location: United States (Remote)</t>
        </is>
      </c>
    </row>
    <row r="491">
      <c r="A491" t="inlineStr">
        <is>
          <t>Lakeside Companies</t>
        </is>
      </c>
      <c r="B491" t="inlineStr">
        <is>
          <t>Information Technology Manager</t>
        </is>
      </c>
      <c r="C491" t="inlineStr">
        <is>
          <t>Applied (auto-submission via Simplify)</t>
        </is>
      </c>
      <c r="D491" t="inlineStr">
        <is>
          <t>LinkedIn (Simplify auto-apply, reconciled 2026-09-06)</t>
        </is>
      </c>
      <c r="E491" t="inlineStr">
        <is>
          <t>2026-09-06</t>
        </is>
      </c>
      <c r="F491" t="inlineStr">
        <is>
          <t>2026-09-06</t>
        </is>
      </c>
      <c r="G491" t="inlineStr">
        <is>
          <t>LinkedIn job tracker status: Applied 3mo ago; location: Coeur d'Alene, ID (On-site)</t>
        </is>
      </c>
    </row>
    <row r="492">
      <c r="A492" t="inlineStr">
        <is>
          <t>PRI Technology</t>
        </is>
      </c>
      <c r="B492" t="inlineStr">
        <is>
          <t>IT/OT Director</t>
        </is>
      </c>
      <c r="C492" t="inlineStr">
        <is>
          <t>Applied (auto-submission via Simplify)</t>
        </is>
      </c>
      <c r="D492" t="inlineStr">
        <is>
          <t>LinkedIn (Simplify auto-apply, reconciled 2026-09-06)</t>
        </is>
      </c>
      <c r="E492" t="inlineStr">
        <is>
          <t>2026-09-06</t>
        </is>
      </c>
      <c r="F492" t="inlineStr">
        <is>
          <t>2026-09-06</t>
        </is>
      </c>
      <c r="G492" t="inlineStr">
        <is>
          <t>LinkedIn job tracker status: Applied 3mo ago; location: North Houston, TX (Hybrid)</t>
        </is>
      </c>
    </row>
    <row r="493">
      <c r="A493" t="inlineStr">
        <is>
          <t>Daniel Defense, LLC</t>
        </is>
      </c>
      <c r="B493" t="inlineStr">
        <is>
          <t>SENIOR DIRECTOR OF TECHNOLOGY</t>
        </is>
      </c>
      <c r="C493" t="inlineStr">
        <is>
          <t>Applied (auto-submission via Simplify)</t>
        </is>
      </c>
      <c r="D493" t="inlineStr">
        <is>
          <t>LinkedIn (Simplify auto-apply, reconciled 2026-09-06)</t>
        </is>
      </c>
      <c r="E493" t="inlineStr">
        <is>
          <t>2026-09-06</t>
        </is>
      </c>
      <c r="F493" t="inlineStr">
        <is>
          <t>2026-09-06</t>
        </is>
      </c>
      <c r="G493" t="inlineStr">
        <is>
          <t>LinkedIn job tracker status: Applied 3mo ago; location: Ellabell, GA (On-site)</t>
        </is>
      </c>
    </row>
    <row r="494">
      <c r="A494" t="inlineStr">
        <is>
          <t>EO Solutions</t>
        </is>
      </c>
      <c r="B494" t="inlineStr">
        <is>
          <t>Director of Information Technology (IT)</t>
        </is>
      </c>
      <c r="C494" t="inlineStr">
        <is>
          <t>Applied (auto-submission via Simplify)</t>
        </is>
      </c>
      <c r="D494" t="inlineStr">
        <is>
          <t>LinkedIn (Simplify auto-apply, reconciled 2026-09-06)</t>
        </is>
      </c>
      <c r="E494" t="inlineStr">
        <is>
          <t>2026-09-06</t>
        </is>
      </c>
      <c r="F494" t="inlineStr">
        <is>
          <t>2026-09-06</t>
        </is>
      </c>
      <c r="G494" t="inlineStr">
        <is>
          <t>LinkedIn job tracker status: Applied 3mo ago; location: Huntsville, AL (On-site)</t>
        </is>
      </c>
    </row>
    <row r="495">
      <c r="A495" t="inlineStr">
        <is>
          <t>Yochana</t>
        </is>
      </c>
      <c r="B495" t="inlineStr">
        <is>
          <t>Medical Device Cybersecurity Analyst</t>
        </is>
      </c>
      <c r="C495" t="inlineStr">
        <is>
          <t>Applied (auto-submission via Simplify)</t>
        </is>
      </c>
      <c r="D495" t="inlineStr">
        <is>
          <t>LinkedIn (Simplify auto-apply, reconciled 2026-09-06)</t>
        </is>
      </c>
      <c r="E495" t="inlineStr">
        <is>
          <t>2026-09-06</t>
        </is>
      </c>
      <c r="F495" t="inlineStr">
        <is>
          <t>2026-09-06</t>
        </is>
      </c>
      <c r="G495" t="inlineStr">
        <is>
          <t>LinkedIn job tracker status: Applied 3mo ago; location: York, PA (Hybrid)</t>
        </is>
      </c>
    </row>
    <row r="496">
      <c r="A496" t="inlineStr">
        <is>
          <t>Alexander Chapman</t>
        </is>
      </c>
      <c r="B496" t="inlineStr">
        <is>
          <t>Director of Compliance</t>
        </is>
      </c>
      <c r="C496" t="inlineStr">
        <is>
          <t>Applied (auto-submission via Simplify)</t>
        </is>
      </c>
      <c r="D496" t="inlineStr">
        <is>
          <t>LinkedIn (Simplify auto-apply, reconciled 2026-09-06)</t>
        </is>
      </c>
      <c r="E496" t="inlineStr">
        <is>
          <t>2026-09-06</t>
        </is>
      </c>
      <c r="F496" t="inlineStr">
        <is>
          <t>2026-09-06</t>
        </is>
      </c>
      <c r="G496" t="inlineStr">
        <is>
          <t>LinkedIn job tracker status: Applied 3mo ago; location: United States (Remote)</t>
        </is>
      </c>
    </row>
    <row r="497">
      <c r="A497" t="inlineStr">
        <is>
          <t>Coretek</t>
        </is>
      </c>
      <c r="B497" t="inlineStr">
        <is>
          <t>Night Shift SOC Analyst - Level 1</t>
        </is>
      </c>
      <c r="C497" t="inlineStr">
        <is>
          <t>Applied (auto-submission via Simplify)</t>
        </is>
      </c>
      <c r="D497" t="inlineStr">
        <is>
          <t>LinkedIn (Simplify auto-apply, reconciled 2026-09-06)</t>
        </is>
      </c>
      <c r="E497" t="inlineStr">
        <is>
          <t>2026-09-06</t>
        </is>
      </c>
      <c r="F497" t="inlineStr">
        <is>
          <t>2026-09-06</t>
        </is>
      </c>
      <c r="G497" t="inlineStr">
        <is>
          <t>LinkedIn job tracker status: Applied 3mo ago; location: United States (Remote)</t>
        </is>
      </c>
    </row>
    <row r="498">
      <c r="A498" t="inlineStr">
        <is>
          <t>IronMountain Solutions, Inc.</t>
        </is>
      </c>
      <c r="B498" t="inlineStr">
        <is>
          <t>Cyber Analyst</t>
        </is>
      </c>
      <c r="C498" t="inlineStr">
        <is>
          <t>Applied (auto-submission via Simplify)</t>
        </is>
      </c>
      <c r="D498" t="inlineStr">
        <is>
          <t>LinkedIn (Simplify auto-apply, reconciled 2026-09-06)</t>
        </is>
      </c>
      <c r="E498" t="inlineStr">
        <is>
          <t>2026-09-06</t>
        </is>
      </c>
      <c r="F498" t="inlineStr">
        <is>
          <t>2026-09-06</t>
        </is>
      </c>
      <c r="G498" t="inlineStr">
        <is>
          <t>LinkedIn job tracker status: Applied 3mo ago; location: San Antonio, TX (On-site)</t>
        </is>
      </c>
    </row>
    <row r="499">
      <c r="A499" t="inlineStr">
        <is>
          <t>Hampton North</t>
        </is>
      </c>
      <c r="B499" t="inlineStr">
        <is>
          <t>Sr. Systems Administrator</t>
        </is>
      </c>
      <c r="C499" t="inlineStr">
        <is>
          <t>Applied (auto-submission via Simplify)</t>
        </is>
      </c>
      <c r="D499" t="inlineStr">
        <is>
          <t>LinkedIn (Simplify auto-apply, reconciled 2026-09-06)</t>
        </is>
      </c>
      <c r="E499" t="inlineStr">
        <is>
          <t>2026-09-06</t>
        </is>
      </c>
      <c r="F499" t="inlineStr">
        <is>
          <t>2026-09-06</t>
        </is>
      </c>
      <c r="G499" t="inlineStr">
        <is>
          <t>LinkedIn job tracker status: Applied 4mo ago; location: Quantico, VA (On-site)</t>
        </is>
      </c>
    </row>
    <row r="500">
      <c r="A500" t="inlineStr">
        <is>
          <t>Hampton North</t>
        </is>
      </c>
      <c r="B500" t="inlineStr">
        <is>
          <t>Detection and Response Engineer</t>
        </is>
      </c>
      <c r="C500" t="inlineStr">
        <is>
          <t>Applied (auto-submission via Simplify)</t>
        </is>
      </c>
      <c r="D500" t="inlineStr">
        <is>
          <t>LinkedIn (Simplify auto-apply, reconciled 2026-09-06)</t>
        </is>
      </c>
      <c r="E500" t="inlineStr">
        <is>
          <t>2026-09-06</t>
        </is>
      </c>
      <c r="F500" t="inlineStr">
        <is>
          <t>2026-09-06</t>
        </is>
      </c>
      <c r="G500" t="inlineStr">
        <is>
          <t>LinkedIn job tracker status: Applied 4mo ago; location: Boston, MA (Remote)</t>
        </is>
      </c>
    </row>
    <row r="501">
      <c r="A501" t="inlineStr">
        <is>
          <t>Trident Consulting</t>
        </is>
      </c>
      <c r="B501" t="inlineStr">
        <is>
          <t>Cybersecurity GRC Lead - Medical Devices</t>
        </is>
      </c>
      <c r="C501" t="inlineStr">
        <is>
          <t>Applied (auto-submission via Simplify)</t>
        </is>
      </c>
      <c r="D501" t="inlineStr">
        <is>
          <t>LinkedIn (Simplify auto-apply, reconciled 2026-09-06)</t>
        </is>
      </c>
      <c r="E501" t="inlineStr">
        <is>
          <t>2026-09-06</t>
        </is>
      </c>
      <c r="F501" t="inlineStr">
        <is>
          <t>2026-09-06</t>
        </is>
      </c>
      <c r="G501" t="inlineStr">
        <is>
          <t>LinkedIn job tracker status: Applied 4mo ago; location: Burlington, MA (Hybrid)</t>
        </is>
      </c>
    </row>
    <row r="502">
      <c r="A502" t="inlineStr">
        <is>
          <t>Motion Recruitment</t>
        </is>
      </c>
      <c r="B502" t="inlineStr">
        <is>
          <t>Cyber-Security Engineer/ Vulnerability Management</t>
        </is>
      </c>
      <c r="C502" t="inlineStr">
        <is>
          <t>Applied (auto-submission via Simplify)</t>
        </is>
      </c>
      <c r="D502" t="inlineStr">
        <is>
          <t>LinkedIn (Simplify auto-apply, reconciled 2026-09-06)</t>
        </is>
      </c>
      <c r="E502" t="inlineStr">
        <is>
          <t>2026-09-06</t>
        </is>
      </c>
      <c r="F502" t="inlineStr">
        <is>
          <t>2026-09-06</t>
        </is>
      </c>
      <c r="G502" t="inlineStr">
        <is>
          <t>LinkedIn job tracker status: Applied 4mo ago; location: Atlanta, GA (Hybrid)</t>
        </is>
      </c>
    </row>
    <row r="503">
      <c r="A503" t="inlineStr">
        <is>
          <t>Alpha Business Solutions</t>
        </is>
      </c>
      <c r="B503" t="inlineStr">
        <is>
          <t>Artificial Intelligence Specialist</t>
        </is>
      </c>
      <c r="C503" t="inlineStr">
        <is>
          <t>Applied (auto-submission via Simplify)</t>
        </is>
      </c>
      <c r="D503" t="inlineStr">
        <is>
          <t>LinkedIn (Simplify auto-apply, reconciled 2026-09-06)</t>
        </is>
      </c>
      <c r="E503" t="inlineStr">
        <is>
          <t>2026-09-06</t>
        </is>
      </c>
      <c r="F503" t="inlineStr">
        <is>
          <t>2026-09-06</t>
        </is>
      </c>
      <c r="G503" t="inlineStr">
        <is>
          <t>LinkedIn job tracker status: Applied 4mo ago; location: United States (Remote)</t>
        </is>
      </c>
    </row>
    <row r="504">
      <c r="A504" t="inlineStr">
        <is>
          <t>iDiscovery Solutions</t>
        </is>
      </c>
      <c r="B504" t="inlineStr">
        <is>
          <t>Senior Forensics Consultant</t>
        </is>
      </c>
      <c r="C504" t="inlineStr">
        <is>
          <t>Applied (auto-submission via Simplify)</t>
        </is>
      </c>
      <c r="D504" t="inlineStr">
        <is>
          <t>LinkedIn (Simplify auto-apply, reconciled 2026-09-06)</t>
        </is>
      </c>
      <c r="E504" t="inlineStr">
        <is>
          <t>2026-09-06</t>
        </is>
      </c>
      <c r="F504" t="inlineStr">
        <is>
          <t>2026-09-06</t>
        </is>
      </c>
      <c r="G504" t="inlineStr">
        <is>
          <t>LinkedIn job tracker status: Applied 4mo ago; location: Washington, DC (Hybrid)</t>
        </is>
      </c>
    </row>
    <row r="505">
      <c r="A505" t="inlineStr">
        <is>
          <t>CRH</t>
        </is>
      </c>
      <c r="B505" t="inlineStr">
        <is>
          <t>Internal IT Audit Manager</t>
        </is>
      </c>
      <c r="C505" t="inlineStr">
        <is>
          <t>Applied (auto-submission via Simplify)</t>
        </is>
      </c>
      <c r="D505" t="inlineStr">
        <is>
          <t>LinkedIn (Simplify auto-apply, reconciled 2026-09-06)</t>
        </is>
      </c>
      <c r="E505" t="inlineStr">
        <is>
          <t>2026-09-06</t>
        </is>
      </c>
      <c r="F505" t="inlineStr">
        <is>
          <t>2026-09-06</t>
        </is>
      </c>
      <c r="G505" t="inlineStr">
        <is>
          <t>LinkedIn job tracker status: Applied 4mo ago; location: Atlanta, GA (Hybrid)</t>
        </is>
      </c>
    </row>
    <row r="506">
      <c r="A506" t="inlineStr">
        <is>
          <t>Eleo</t>
        </is>
      </c>
      <c r="B506" t="inlineStr">
        <is>
          <t>IT &amp; Cybersecurity Audit Manager</t>
        </is>
      </c>
      <c r="C506" t="inlineStr">
        <is>
          <t>Applied (auto-submission via Simplify)</t>
        </is>
      </c>
      <c r="D506" t="inlineStr">
        <is>
          <t>LinkedIn (Simplify auto-apply, reconciled 2026-09-06)</t>
        </is>
      </c>
      <c r="E506" t="inlineStr">
        <is>
          <t>2026-09-06</t>
        </is>
      </c>
      <c r="F506" t="inlineStr">
        <is>
          <t>2026-09-06</t>
        </is>
      </c>
      <c r="G506" t="inlineStr">
        <is>
          <t>LinkedIn job tracker status: Applied 4mo ago; location: Hartford, CT (On-site)</t>
        </is>
      </c>
    </row>
    <row r="507">
      <c r="A507" t="inlineStr">
        <is>
          <t>EPITEC</t>
        </is>
      </c>
      <c r="B507" t="inlineStr">
        <is>
          <t>Cybersecurity Specialist</t>
        </is>
      </c>
      <c r="C507" t="inlineStr">
        <is>
          <t>Applied (auto-submission via Simplify)</t>
        </is>
      </c>
      <c r="D507" t="inlineStr">
        <is>
          <t>LinkedIn (Simplify auto-apply, reconciled 2026-09-06)</t>
        </is>
      </c>
      <c r="E507" t="inlineStr">
        <is>
          <t>2026-09-06</t>
        </is>
      </c>
      <c r="F507" t="inlineStr">
        <is>
          <t>2026-09-06</t>
        </is>
      </c>
      <c r="G507" t="inlineStr">
        <is>
          <t>LinkedIn job tracker status: Applied 4mo ago; location: Dearborn, MI</t>
        </is>
      </c>
    </row>
    <row r="508">
      <c r="A508" t="inlineStr">
        <is>
          <t>Edrix</t>
        </is>
      </c>
      <c r="B508" t="inlineStr">
        <is>
          <t>AI Governance Lead</t>
        </is>
      </c>
      <c r="C508" t="inlineStr">
        <is>
          <t>Applied (auto-submission via Simplify)</t>
        </is>
      </c>
      <c r="D508" t="inlineStr">
        <is>
          <t>LinkedIn (Simplify auto-apply, reconciled 2026-09-06)</t>
        </is>
      </c>
      <c r="E508" t="inlineStr">
        <is>
          <t>2026-09-06</t>
        </is>
      </c>
      <c r="F508" t="inlineStr">
        <is>
          <t>2026-09-06</t>
        </is>
      </c>
      <c r="G508" t="inlineStr">
        <is>
          <t>LinkedIn job tracker status: Applied 4mo ago; location: United States (Remote)</t>
        </is>
      </c>
    </row>
    <row r="509">
      <c r="A509" t="inlineStr">
        <is>
          <t>Learnix Center</t>
        </is>
      </c>
      <c r="B509" t="inlineStr">
        <is>
          <t>Cybersecurity Instructor - Part-Time</t>
        </is>
      </c>
      <c r="C509" t="inlineStr">
        <is>
          <t>Applied (auto-submission via Simplify)</t>
        </is>
      </c>
      <c r="D509" t="inlineStr">
        <is>
          <t>LinkedIn (Simplify auto-apply, reconciled 2026-09-06)</t>
        </is>
      </c>
      <c r="E509" t="inlineStr">
        <is>
          <t>2026-09-06</t>
        </is>
      </c>
      <c r="F509" t="inlineStr">
        <is>
          <t>2026-09-06</t>
        </is>
      </c>
      <c r="G509" t="inlineStr">
        <is>
          <t>LinkedIn job tracker status: Applied 4mo ago; location: United States (Remote)</t>
        </is>
      </c>
    </row>
    <row r="510">
      <c r="A510" t="inlineStr">
        <is>
          <t>Proda Technology</t>
        </is>
      </c>
      <c r="B510" t="inlineStr">
        <is>
          <t>Security &amp; Compliance Manager</t>
        </is>
      </c>
      <c r="C510" t="inlineStr">
        <is>
          <t>Applied (auto-submission via Simplify)</t>
        </is>
      </c>
      <c r="D510" t="inlineStr">
        <is>
          <t>LinkedIn (Simplify auto-apply, reconciled 2026-09-06)</t>
        </is>
      </c>
      <c r="E510" t="inlineStr">
        <is>
          <t>2026-09-06</t>
        </is>
      </c>
      <c r="F510" t="inlineStr">
        <is>
          <t>2026-09-06</t>
        </is>
      </c>
      <c r="G510" t="inlineStr">
        <is>
          <t>LinkedIn job tracker status: Applied 4mo ago; location: Atlanta, GA (On-site)</t>
        </is>
      </c>
    </row>
    <row r="511">
      <c r="A511" t="inlineStr">
        <is>
          <t>eSense Incorporated</t>
        </is>
      </c>
      <c r="B511" t="inlineStr">
        <is>
          <t>Data Governance Manager</t>
        </is>
      </c>
      <c r="C511" t="inlineStr">
        <is>
          <t>Applied (auto-submission via Simplify)</t>
        </is>
      </c>
      <c r="D511" t="inlineStr">
        <is>
          <t>LinkedIn (Simplify auto-apply, reconciled 2026-09-06)</t>
        </is>
      </c>
      <c r="E511" t="inlineStr">
        <is>
          <t>2026-09-06</t>
        </is>
      </c>
      <c r="F511" t="inlineStr">
        <is>
          <t>2026-09-06</t>
        </is>
      </c>
      <c r="G511" t="inlineStr">
        <is>
          <t>LinkedIn job tracker status: Applied 4mo ago; location: United States (Remote)</t>
        </is>
      </c>
    </row>
    <row r="512">
      <c r="A512" t="inlineStr">
        <is>
          <t>Eliassen Group</t>
        </is>
      </c>
      <c r="B512" t="inlineStr">
        <is>
          <t>Digital Forensics Analyst</t>
        </is>
      </c>
      <c r="C512" t="inlineStr">
        <is>
          <t>Applied (auto-submission via Simplify)</t>
        </is>
      </c>
      <c r="D512" t="inlineStr">
        <is>
          <t>LinkedIn (Simplify auto-apply, reconciled 2026-09-06)</t>
        </is>
      </c>
      <c r="E512" t="inlineStr">
        <is>
          <t>2026-09-06</t>
        </is>
      </c>
      <c r="F512" t="inlineStr">
        <is>
          <t>2026-09-06</t>
        </is>
      </c>
      <c r="G512" t="inlineStr">
        <is>
          <t>LinkedIn job tracker status: Applied 4mo ago; location: Lake Mary, FL (Hybrid)</t>
        </is>
      </c>
    </row>
    <row r="513">
      <c r="A513" t="inlineStr">
        <is>
          <t>The University of North Carolina Press</t>
        </is>
      </c>
      <c r="B513" t="inlineStr">
        <is>
          <t>IT &amp; Infrastructure Manager</t>
        </is>
      </c>
      <c r="C513" t="inlineStr">
        <is>
          <t>Applied (auto-submission via Simplify)</t>
        </is>
      </c>
      <c r="D513" t="inlineStr">
        <is>
          <t>LinkedIn (Simplify auto-apply, reconciled 2026-09-06)</t>
        </is>
      </c>
      <c r="E513" t="inlineStr">
        <is>
          <t>2026-09-06</t>
        </is>
      </c>
      <c r="F513" t="inlineStr">
        <is>
          <t>2026-09-06</t>
        </is>
      </c>
      <c r="G513" t="inlineStr">
        <is>
          <t>LinkedIn job tracker status: Applied 4mo ago; location: Chapel Hill, NC (On-site)</t>
        </is>
      </c>
    </row>
    <row r="514">
      <c r="A514" t="inlineStr">
        <is>
          <t>LinkedIn</t>
        </is>
      </c>
      <c r="B514" t="inlineStr">
        <is>
          <t>Data Entry Agent AI Trainer</t>
        </is>
      </c>
      <c r="C514" t="inlineStr">
        <is>
          <t>Applied (auto-submission via Simplify)</t>
        </is>
      </c>
      <c r="D514" t="inlineStr">
        <is>
          <t>LinkedIn (Simplify auto-apply, reconciled 2026-09-06)</t>
        </is>
      </c>
      <c r="E514" t="inlineStr">
        <is>
          <t>2026-09-06</t>
        </is>
      </c>
      <c r="F514" t="inlineStr">
        <is>
          <t>2026-09-06</t>
        </is>
      </c>
      <c r="G514" t="inlineStr">
        <is>
          <t>LinkedIn job tracker status: Applied 4mo ago; location: United States (Remote)</t>
        </is>
      </c>
    </row>
    <row r="515">
      <c r="A515" t="inlineStr">
        <is>
          <t>Odyssey Information Services</t>
        </is>
      </c>
      <c r="B515" t="inlineStr">
        <is>
          <t>AI Governance Portfolio Manager</t>
        </is>
      </c>
      <c r="C515" t="inlineStr">
        <is>
          <t>Applied (auto-submission via Simplify)</t>
        </is>
      </c>
      <c r="D515" t="inlineStr">
        <is>
          <t>LinkedIn (Simplify auto-apply, reconciled 2026-09-06)</t>
        </is>
      </c>
      <c r="E515" t="inlineStr">
        <is>
          <t>2026-09-06</t>
        </is>
      </c>
      <c r="F515" t="inlineStr">
        <is>
          <t>2026-09-06</t>
        </is>
      </c>
      <c r="G515" t="inlineStr">
        <is>
          <t>LinkedIn job tracker status: Applied 4mo ago; location: Greater Houston (On-site)</t>
        </is>
      </c>
    </row>
    <row r="516">
      <c r="A516" t="inlineStr">
        <is>
          <t>LinkedIn</t>
        </is>
      </c>
      <c r="B516" t="inlineStr">
        <is>
          <t>Adversarial Risk Evaluator AI Trainer</t>
        </is>
      </c>
      <c r="C516" t="inlineStr">
        <is>
          <t>Applied (auto-submission via Simplify)</t>
        </is>
      </c>
      <c r="D516" t="inlineStr">
        <is>
          <t>LinkedIn (Simplify auto-apply, reconciled 2026-09-06)</t>
        </is>
      </c>
      <c r="E516" t="inlineStr">
        <is>
          <t>2026-09-06</t>
        </is>
      </c>
      <c r="F516" t="inlineStr">
        <is>
          <t>2026-09-06</t>
        </is>
      </c>
      <c r="G516" t="inlineStr">
        <is>
          <t>LinkedIn job tracker status: Applied 4mo ago; location: United States (Remote)</t>
        </is>
      </c>
    </row>
    <row r="517">
      <c r="A517" t="inlineStr">
        <is>
          <t>Ignyte Assurance Platform</t>
        </is>
      </c>
      <c r="B517" t="inlineStr">
        <is>
          <t>Cybersecurity Professional - Auditor / Consultant</t>
        </is>
      </c>
      <c r="C517" t="inlineStr">
        <is>
          <t>Applied (auto-submission via Simplify)</t>
        </is>
      </c>
      <c r="D517" t="inlineStr">
        <is>
          <t>LinkedIn (Simplify auto-apply, reconciled 2026-09-06)</t>
        </is>
      </c>
      <c r="E517" t="inlineStr">
        <is>
          <t>2026-09-06</t>
        </is>
      </c>
      <c r="F517" t="inlineStr">
        <is>
          <t>2026-09-06</t>
        </is>
      </c>
      <c r="G517" t="inlineStr">
        <is>
          <t>LinkedIn job tracker status: Applied 5mo ago; location: United States (Remote)</t>
        </is>
      </c>
    </row>
    <row r="518">
      <c r="A518" t="inlineStr">
        <is>
          <t>cFocus Software Incorporated</t>
        </is>
      </c>
      <c r="B518" t="inlineStr">
        <is>
          <t>HUD - Forensics / Data Specialist</t>
        </is>
      </c>
      <c r="C518" t="inlineStr">
        <is>
          <t>Applied (auto-submission via Simplify)</t>
        </is>
      </c>
      <c r="D518" t="inlineStr">
        <is>
          <t>LinkedIn (Simplify auto-apply, reconciled 2026-09-06)</t>
        </is>
      </c>
      <c r="E518" t="inlineStr">
        <is>
          <t>2026-09-06</t>
        </is>
      </c>
      <c r="F518" t="inlineStr">
        <is>
          <t>2026-09-06</t>
        </is>
      </c>
      <c r="G518" t="inlineStr">
        <is>
          <t>LinkedIn job tracker status: Applied 5mo ago; location: Washington, DC (Remote)</t>
        </is>
      </c>
    </row>
    <row r="519">
      <c r="A519" t="inlineStr">
        <is>
          <t>LNCsearch</t>
        </is>
      </c>
      <c r="B519" t="inlineStr">
        <is>
          <t>Information Technology Manager</t>
        </is>
      </c>
      <c r="C519" t="inlineStr">
        <is>
          <t>Applied (auto-submission via Simplify)</t>
        </is>
      </c>
      <c r="D519" t="inlineStr">
        <is>
          <t>LinkedIn (Simplify auto-apply, reconciled 2026-09-06)</t>
        </is>
      </c>
      <c r="E519" t="inlineStr">
        <is>
          <t>2026-09-06</t>
        </is>
      </c>
      <c r="F519" t="inlineStr">
        <is>
          <t>2026-09-06</t>
        </is>
      </c>
      <c r="G519" t="inlineStr">
        <is>
          <t>LinkedIn job tracker status: Applied 5mo ago; location: Sandy Springs, GA (Hybrid)</t>
        </is>
      </c>
    </row>
    <row r="520">
      <c r="A520" t="inlineStr">
        <is>
          <t>Centraprise</t>
        </is>
      </c>
      <c r="B520" t="inlineStr">
        <is>
          <t>IAM Engineer</t>
        </is>
      </c>
      <c r="C520" t="inlineStr">
        <is>
          <t>Applied (auto-submission via Simplify)</t>
        </is>
      </c>
      <c r="D520" t="inlineStr">
        <is>
          <t>LinkedIn (Simplify auto-apply, reconciled 2026-09-06)</t>
        </is>
      </c>
      <c r="E520" t="inlineStr">
        <is>
          <t>2026-09-06</t>
        </is>
      </c>
      <c r="F520" t="inlineStr">
        <is>
          <t>2026-09-06</t>
        </is>
      </c>
      <c r="G520" t="inlineStr">
        <is>
          <t>LinkedIn job tracker status: Applied 5mo ago; location: Boston, MA (On-site)</t>
        </is>
      </c>
    </row>
    <row r="521">
      <c r="A521" t="inlineStr">
        <is>
          <t>BLN24</t>
        </is>
      </c>
      <c r="B521" t="inlineStr">
        <is>
          <t>Cyber Training Specialist</t>
        </is>
      </c>
      <c r="C521" t="inlineStr">
        <is>
          <t>Applied (auto-submission via Simplify)</t>
        </is>
      </c>
      <c r="D521" t="inlineStr">
        <is>
          <t>LinkedIn (Simplify auto-apply, reconciled 2026-09-06)</t>
        </is>
      </c>
      <c r="E521" t="inlineStr">
        <is>
          <t>2026-09-06</t>
        </is>
      </c>
      <c r="F521" t="inlineStr">
        <is>
          <t>2026-09-06</t>
        </is>
      </c>
      <c r="G521" t="inlineStr">
        <is>
          <t>LinkedIn job tracker status: Applied 5mo ago; location: McLean, VA (On-site)</t>
        </is>
      </c>
    </row>
    <row r="522">
      <c r="A522" t="inlineStr">
        <is>
          <t>Jobgether</t>
        </is>
      </c>
      <c r="B522" t="inlineStr">
        <is>
          <t>Senior System Operations Manager</t>
        </is>
      </c>
      <c r="C522" t="inlineStr">
        <is>
          <t>Applied (auto-submission via Simplify)</t>
        </is>
      </c>
      <c r="D522" t="inlineStr">
        <is>
          <t>LinkedIn (Simplify auto-apply, reconciled 2026-09-06)</t>
        </is>
      </c>
      <c r="E522" t="inlineStr">
        <is>
          <t>2026-09-06</t>
        </is>
      </c>
      <c r="F522" t="inlineStr">
        <is>
          <t>2026-09-06</t>
        </is>
      </c>
      <c r="G522" t="inlineStr">
        <is>
          <t>LinkedIn job tracker status: Applied 5mo ago; location: United States (Remote)</t>
        </is>
      </c>
    </row>
    <row r="523">
      <c r="A523" t="inlineStr">
        <is>
          <t>SecureLogix</t>
        </is>
      </c>
      <c r="B523" t="inlineStr">
        <is>
          <t>Product Security Assurance &amp; Compliance (PSAC) Manager</t>
        </is>
      </c>
      <c r="C523" t="inlineStr">
        <is>
          <t>Applied (auto-submission via Simplify)</t>
        </is>
      </c>
      <c r="D523" t="inlineStr">
        <is>
          <t>LinkedIn (Simplify auto-apply, reconciled 2026-09-06)</t>
        </is>
      </c>
      <c r="E523" t="inlineStr">
        <is>
          <t>2026-09-06</t>
        </is>
      </c>
      <c r="F523" t="inlineStr">
        <is>
          <t>2026-09-06</t>
        </is>
      </c>
      <c r="G523" t="inlineStr">
        <is>
          <t>LinkedIn job tracker status: Applied 5mo ago; location: San Antonio, TX (On-site)</t>
        </is>
      </c>
    </row>
    <row r="524">
      <c r="A524" t="inlineStr">
        <is>
          <t>Pentangle Tech Services</t>
        </is>
      </c>
      <c r="B524" t="inlineStr">
        <is>
          <t>SoC BSW Engineer - OS &amp; Hypervisor, Cybersecurity</t>
        </is>
      </c>
      <c r="C524" t="inlineStr">
        <is>
          <t>Applied (auto-submission via Simplify)</t>
        </is>
      </c>
      <c r="D524" t="inlineStr">
        <is>
          <t>LinkedIn (Simplify auto-apply, reconciled 2026-09-06)</t>
        </is>
      </c>
      <c r="E524" t="inlineStr">
        <is>
          <t>2026-09-06</t>
        </is>
      </c>
      <c r="F524" t="inlineStr">
        <is>
          <t>2026-09-06</t>
        </is>
      </c>
      <c r="G524" t="inlineStr">
        <is>
          <t>LinkedIn job tracker status: Auburn Hills, MI (On-site); location: P5 Group</t>
        </is>
      </c>
    </row>
    <row r="525">
      <c r="A525" t="inlineStr">
        <is>
          <t>Sunrise Systems, Inc.</t>
        </is>
      </c>
      <c r="B525" t="inlineStr">
        <is>
          <t>GOVERNANCE, RISK, AND COMPLIANCE ANALYST</t>
        </is>
      </c>
      <c r="C525" t="inlineStr">
        <is>
          <t>Applied (auto-submission via Simplify)</t>
        </is>
      </c>
      <c r="D525" t="inlineStr">
        <is>
          <t>LinkedIn (Simplify auto-apply, reconciled 2026-09-06)</t>
        </is>
      </c>
      <c r="E525" t="inlineStr">
        <is>
          <t>2026-09-06</t>
        </is>
      </c>
      <c r="F525" t="inlineStr">
        <is>
          <t>2026-09-06</t>
        </is>
      </c>
      <c r="G525" t="inlineStr">
        <is>
          <t>LinkedIn job tracker status: Applied 5mo ago; location: Phoenix, AZ (On-site)</t>
        </is>
      </c>
    </row>
    <row r="526">
      <c r="A526" t="inlineStr">
        <is>
          <t>Digital Hands</t>
        </is>
      </c>
      <c r="B526" t="inlineStr">
        <is>
          <t>Customer Success Manager</t>
        </is>
      </c>
      <c r="C526" t="inlineStr">
        <is>
          <t>Applied (auto-submission via Simplify)</t>
        </is>
      </c>
      <c r="D526" t="inlineStr">
        <is>
          <t>LinkedIn (Simplify auto-apply, reconciled 2026-09-06)</t>
        </is>
      </c>
      <c r="E526" t="inlineStr">
        <is>
          <t>2026-09-06</t>
        </is>
      </c>
      <c r="F526" t="inlineStr">
        <is>
          <t>2026-09-06</t>
        </is>
      </c>
      <c r="G526" t="inlineStr">
        <is>
          <t>LinkedIn job tracker status: Applied 5mo ago; location: Tampa, FL (On-site)</t>
        </is>
      </c>
    </row>
    <row r="527">
      <c r="A527" t="inlineStr">
        <is>
          <t>Solvo Global</t>
        </is>
      </c>
      <c r="B527" t="inlineStr">
        <is>
          <t>Information Security Analyst</t>
        </is>
      </c>
      <c r="C527" t="inlineStr">
        <is>
          <t>Applied (auto-submission via Simplify)</t>
        </is>
      </c>
      <c r="D527" t="inlineStr">
        <is>
          <t>LinkedIn (Simplify auto-apply, reconciled 2026-09-06)</t>
        </is>
      </c>
      <c r="E527" t="inlineStr">
        <is>
          <t>2026-09-06</t>
        </is>
      </c>
      <c r="F527" t="inlineStr">
        <is>
          <t>2026-09-06</t>
        </is>
      </c>
      <c r="G527" t="inlineStr">
        <is>
          <t>LinkedIn job tracker status: Applied 5mo ago; location: Stamford, CT (On-site)</t>
        </is>
      </c>
    </row>
    <row r="528">
      <c r="A528" t="inlineStr">
        <is>
          <t>HumCap</t>
        </is>
      </c>
      <c r="B528" t="inlineStr">
        <is>
          <t>IT Security Specialist</t>
        </is>
      </c>
      <c r="C528" t="inlineStr">
        <is>
          <t>Applied (auto-submission via Simplify)</t>
        </is>
      </c>
      <c r="D528" t="inlineStr">
        <is>
          <t>LinkedIn (Simplify auto-apply, reconciled 2026-09-06)</t>
        </is>
      </c>
      <c r="E528" t="inlineStr">
        <is>
          <t>2026-09-06</t>
        </is>
      </c>
      <c r="F528" t="inlineStr">
        <is>
          <t>2026-09-06</t>
        </is>
      </c>
      <c r="G528" t="inlineStr">
        <is>
          <t>LinkedIn job tracker status: Applied 5mo ago; location: Miami-Fort Lauderdale Area (On-site)</t>
        </is>
      </c>
    </row>
    <row r="529">
      <c r="A529" t="inlineStr">
        <is>
          <t>HRUCKUS</t>
        </is>
      </c>
      <c r="B529" t="inlineStr">
        <is>
          <t>Information System Security Officer (ISSO)</t>
        </is>
      </c>
      <c r="C529" t="inlineStr">
        <is>
          <t>Applied (auto-submission via Simplify)</t>
        </is>
      </c>
      <c r="D529" t="inlineStr">
        <is>
          <t>LinkedIn (Simplify auto-apply, reconciled 2026-09-06)</t>
        </is>
      </c>
      <c r="E529" t="inlineStr">
        <is>
          <t>2026-09-06</t>
        </is>
      </c>
      <c r="F529" t="inlineStr">
        <is>
          <t>2026-09-06</t>
        </is>
      </c>
      <c r="G529" t="inlineStr">
        <is>
          <t>LinkedIn job tracker status: Applied 5mo ago; location: Kirtland, NM (On-site)</t>
        </is>
      </c>
    </row>
    <row r="530">
      <c r="A530" t="inlineStr">
        <is>
          <t>Akkodis</t>
        </is>
      </c>
      <c r="B530" t="inlineStr">
        <is>
          <t>UEM Administrator</t>
        </is>
      </c>
      <c r="C530" t="inlineStr">
        <is>
          <t>Applied (auto-submission via Simplify)</t>
        </is>
      </c>
      <c r="D530" t="inlineStr">
        <is>
          <t>LinkedIn (Simplify auto-apply, reconciled 2026-09-06)</t>
        </is>
      </c>
      <c r="E530" t="inlineStr">
        <is>
          <t>2026-09-06</t>
        </is>
      </c>
      <c r="F530" t="inlineStr">
        <is>
          <t>2026-09-06</t>
        </is>
      </c>
      <c r="G530" t="inlineStr">
        <is>
          <t>LinkedIn job tracker status: Applied 5mo ago; location: San Antonio, Texas Metropolitan Area (On-site)</t>
        </is>
      </c>
    </row>
    <row r="531">
      <c r="A531" t="inlineStr">
        <is>
          <t>INEOS</t>
        </is>
      </c>
      <c r="B531" t="inlineStr">
        <is>
          <t>Information Technology Infrastructure and Networking Engineer</t>
        </is>
      </c>
      <c r="C531" t="inlineStr">
        <is>
          <t>Applied (auto-submission via Simplify)</t>
        </is>
      </c>
      <c r="D531" t="inlineStr">
        <is>
          <t>LinkedIn (Simplify auto-apply, reconciled 2026-09-06)</t>
        </is>
      </c>
      <c r="E531" t="inlineStr">
        <is>
          <t>2026-09-06</t>
        </is>
      </c>
      <c r="F531" t="inlineStr">
        <is>
          <t>2026-09-06</t>
        </is>
      </c>
      <c r="G531" t="inlineStr">
        <is>
          <t>LinkedIn job tracker status: Applied 5mo ago; location: Pasadena, TX (On-site)</t>
        </is>
      </c>
    </row>
    <row r="532">
      <c r="A532" t="inlineStr">
        <is>
          <t>Achieve</t>
        </is>
      </c>
      <c r="B532" t="inlineStr">
        <is>
          <t>Information Security Analyst - Temporary</t>
        </is>
      </c>
      <c r="C532" t="inlineStr">
        <is>
          <t>Applied (auto-submission via Simplify)</t>
        </is>
      </c>
      <c r="D532" t="inlineStr">
        <is>
          <t>LinkedIn (Simplify auto-apply, reconciled 2026-09-06)</t>
        </is>
      </c>
      <c r="E532" t="inlineStr">
        <is>
          <t>2026-09-06</t>
        </is>
      </c>
      <c r="F532" t="inlineStr">
        <is>
          <t>2026-09-06</t>
        </is>
      </c>
      <c r="G532" t="inlineStr">
        <is>
          <t>LinkedIn job tracker status: Applied 5mo ago; location: Tempe, AZ (Hybrid)</t>
        </is>
      </c>
    </row>
    <row r="533">
      <c r="A533" t="inlineStr">
        <is>
          <t>The Office of the Chief Financial Officer (OCFO)</t>
        </is>
      </c>
      <c r="B533" t="inlineStr">
        <is>
          <t>Director Information Technology Security (CISO)</t>
        </is>
      </c>
      <c r="C533" t="inlineStr">
        <is>
          <t>Applied (auto-submission via Simplify)</t>
        </is>
      </c>
      <c r="D533" t="inlineStr">
        <is>
          <t>LinkedIn (Simplify auto-apply, reconciled 2026-09-06)</t>
        </is>
      </c>
      <c r="E533" t="inlineStr">
        <is>
          <t>2026-09-06</t>
        </is>
      </c>
      <c r="F533" t="inlineStr">
        <is>
          <t>2026-09-06</t>
        </is>
      </c>
      <c r="G533" t="inlineStr">
        <is>
          <t>LinkedIn job tracker status: Applied 5mo ago; location: Washington, DC (Hybrid)</t>
        </is>
      </c>
    </row>
    <row r="534">
      <c r="A534" t="inlineStr">
        <is>
          <t>ABCS, Inc. IT Executive and Contingent Workforce Staffing</t>
        </is>
      </c>
      <c r="B534" t="inlineStr">
        <is>
          <t>GRC Analyst (Governance, Risk and Compliance)</t>
        </is>
      </c>
      <c r="C534" t="inlineStr">
        <is>
          <t>Applied (auto-submission via Simplify)</t>
        </is>
      </c>
      <c r="D534" t="inlineStr">
        <is>
          <t>LinkedIn (Simplify auto-apply, reconciled 2026-09-06)</t>
        </is>
      </c>
      <c r="E534" t="inlineStr">
        <is>
          <t>2026-09-06</t>
        </is>
      </c>
      <c r="F534" t="inlineStr">
        <is>
          <t>2026-09-06</t>
        </is>
      </c>
      <c r="G534" t="inlineStr">
        <is>
          <t>LinkedIn job tracker status: Applied 5mo ago; location: Phoenix, AZ (Hybrid)</t>
        </is>
      </c>
    </row>
    <row r="535">
      <c r="A535" t="inlineStr">
        <is>
          <t>Purpose Legal</t>
        </is>
      </c>
      <c r="B535" t="inlineStr">
        <is>
          <t>Digital Forensic Analyst</t>
        </is>
      </c>
      <c r="C535" t="inlineStr">
        <is>
          <t>Applied (auto-submission via Simplify)</t>
        </is>
      </c>
      <c r="D535" t="inlineStr">
        <is>
          <t>LinkedIn (Simplify auto-apply, reconciled 2026-09-06)</t>
        </is>
      </c>
      <c r="E535" t="inlineStr">
        <is>
          <t>2026-09-06</t>
        </is>
      </c>
      <c r="F535" t="inlineStr">
        <is>
          <t>2026-09-06</t>
        </is>
      </c>
      <c r="G535" t="inlineStr">
        <is>
          <t>LinkedIn job tracker status: Applied 5mo ago; location: United States (Remote)</t>
        </is>
      </c>
    </row>
    <row r="536">
      <c r="A536" t="inlineStr">
        <is>
          <t>Axius Technologies Inc.</t>
        </is>
      </c>
      <c r="B536" t="inlineStr">
        <is>
          <t>Information Security Analyst</t>
        </is>
      </c>
      <c r="C536" t="inlineStr">
        <is>
          <t>Applied (auto-submission via Simplify)</t>
        </is>
      </c>
      <c r="D536" t="inlineStr">
        <is>
          <t>LinkedIn (Simplify auto-apply, reconciled 2026-09-06)</t>
        </is>
      </c>
      <c r="E536" t="inlineStr">
        <is>
          <t>2026-09-06</t>
        </is>
      </c>
      <c r="F536" t="inlineStr">
        <is>
          <t>2026-09-06</t>
        </is>
      </c>
      <c r="G536" t="inlineStr">
        <is>
          <t>LinkedIn job tracker status: Applied 5mo ago; location: Phoenix, AZ (Hybrid)</t>
        </is>
      </c>
    </row>
    <row r="537">
      <c r="A537" t="inlineStr">
        <is>
          <t>Stem IT</t>
        </is>
      </c>
      <c r="B537" t="inlineStr">
        <is>
          <t>Vulnerability Researcher</t>
        </is>
      </c>
      <c r="C537" t="inlineStr">
        <is>
          <t>Applied (auto-submission via Simplify)</t>
        </is>
      </c>
      <c r="D537" t="inlineStr">
        <is>
          <t>LinkedIn (Simplify auto-apply, reconciled 2026-09-06)</t>
        </is>
      </c>
      <c r="E537" t="inlineStr">
        <is>
          <t>2026-09-06</t>
        </is>
      </c>
      <c r="F537" t="inlineStr">
        <is>
          <t>2026-09-06</t>
        </is>
      </c>
      <c r="G537" t="inlineStr">
        <is>
          <t>LinkedIn job tracker status: Applied 5mo ago; location: Arlington, VA (On-site)</t>
        </is>
      </c>
    </row>
    <row r="538">
      <c r="A538" t="inlineStr">
        <is>
          <t>Vista Applied Solutions Group Inc</t>
        </is>
      </c>
      <c r="B538" t="inlineStr">
        <is>
          <t>Governance, Risk, and Compliance Analyst</t>
        </is>
      </c>
      <c r="C538" t="inlineStr">
        <is>
          <t>Applied (auto-submission via Simplify)</t>
        </is>
      </c>
      <c r="D538" t="inlineStr">
        <is>
          <t>LinkedIn (Simplify auto-apply, reconciled 2026-09-06)</t>
        </is>
      </c>
      <c r="E538" t="inlineStr">
        <is>
          <t>2026-09-06</t>
        </is>
      </c>
      <c r="F538" t="inlineStr">
        <is>
          <t>2026-09-06</t>
        </is>
      </c>
      <c r="G538" t="inlineStr">
        <is>
          <t>LinkedIn job tracker status: Applied 5mo ago; location: Phoenix, AZ (Hybrid)</t>
        </is>
      </c>
    </row>
    <row r="539">
      <c r="A539" t="inlineStr">
        <is>
          <t>Serigor Inc</t>
        </is>
      </c>
      <c r="B539" t="inlineStr">
        <is>
          <t>Cybersecurity Data Specialist (Onsite)</t>
        </is>
      </c>
      <c r="C539" t="inlineStr">
        <is>
          <t>Applied (auto-submission via Simplify)</t>
        </is>
      </c>
      <c r="D539" t="inlineStr">
        <is>
          <t>LinkedIn (Simplify auto-apply, reconciled 2026-09-06)</t>
        </is>
      </c>
      <c r="E539" t="inlineStr">
        <is>
          <t>2026-09-06</t>
        </is>
      </c>
      <c r="F539" t="inlineStr">
        <is>
          <t>2026-09-06</t>
        </is>
      </c>
      <c r="G539" t="inlineStr">
        <is>
          <t>LinkedIn job tracker status: Applied 5mo ago; location: Arlington, VA (On-site)</t>
        </is>
      </c>
    </row>
    <row r="540">
      <c r="A540" t="inlineStr">
        <is>
          <t>Vaisesika</t>
        </is>
      </c>
      <c r="B540" t="inlineStr">
        <is>
          <t>Cyber Security Specialist</t>
        </is>
      </c>
      <c r="C540" t="inlineStr">
        <is>
          <t>Applied (auto-submission via Simplify)</t>
        </is>
      </c>
      <c r="D540" t="inlineStr">
        <is>
          <t>LinkedIn (Simplify auto-apply, reconciled 2026-09-06)</t>
        </is>
      </c>
      <c r="E540" t="inlineStr">
        <is>
          <t>2026-09-06</t>
        </is>
      </c>
      <c r="F540" t="inlineStr">
        <is>
          <t>2026-09-06</t>
        </is>
      </c>
      <c r="G540" t="inlineStr">
        <is>
          <t>LinkedIn job tracker status: Applied 5mo ago; location: Greater Chicago Area (On-site)</t>
        </is>
      </c>
    </row>
    <row r="541">
      <c r="A541" t="inlineStr">
        <is>
          <t>Ascension Federal Services, Inc.</t>
        </is>
      </c>
      <c r="B541" t="inlineStr">
        <is>
          <t>Cyber Secuirty Specialist</t>
        </is>
      </c>
      <c r="C541" t="inlineStr">
        <is>
          <t>Applied (auto-submission via Simplify)</t>
        </is>
      </c>
      <c r="D541" t="inlineStr">
        <is>
          <t>LinkedIn (Simplify auto-apply, reconciled 2026-09-06)</t>
        </is>
      </c>
      <c r="E541" t="inlineStr">
        <is>
          <t>2026-09-06</t>
        </is>
      </c>
      <c r="F541" t="inlineStr">
        <is>
          <t>2026-09-06</t>
        </is>
      </c>
      <c r="G541" t="inlineStr">
        <is>
          <t>LinkedIn job tracker status: Applied 5mo ago; location: Huntsville, AL (On-site)</t>
        </is>
      </c>
    </row>
    <row r="542">
      <c r="A542" t="inlineStr">
        <is>
          <t>Bluebird Fiber</t>
        </is>
      </c>
      <c r="B542" t="inlineStr">
        <is>
          <t>IT Security Engineer</t>
        </is>
      </c>
      <c r="C542" t="inlineStr">
        <is>
          <t>Applied (auto-submission via Simplify)</t>
        </is>
      </c>
      <c r="D542" t="inlineStr">
        <is>
          <t>LinkedIn (Simplify auto-apply, reconciled 2026-09-06)</t>
        </is>
      </c>
      <c r="E542" t="inlineStr">
        <is>
          <t>2026-09-06</t>
        </is>
      </c>
      <c r="F542" t="inlineStr">
        <is>
          <t>2026-09-06</t>
        </is>
      </c>
      <c r="G542" t="inlineStr">
        <is>
          <t>LinkedIn job tracker status: Applied 5mo ago; location: Kansas City, MO</t>
        </is>
      </c>
    </row>
    <row r="543">
      <c r="A543" t="inlineStr">
        <is>
          <t>DeleteMe</t>
        </is>
      </c>
      <c r="B543" t="inlineStr">
        <is>
          <t>Product Manager, Cybersecurity</t>
        </is>
      </c>
      <c r="C543" t="inlineStr">
        <is>
          <t>Applied (auto-submission via Simplify)</t>
        </is>
      </c>
      <c r="D543" t="inlineStr">
        <is>
          <t>LinkedIn (Simplify auto-apply, reconciled 2026-09-06)</t>
        </is>
      </c>
      <c r="E543" t="inlineStr">
        <is>
          <t>2026-09-06</t>
        </is>
      </c>
      <c r="F543" t="inlineStr">
        <is>
          <t>2026-09-06</t>
        </is>
      </c>
      <c r="G543" t="inlineStr">
        <is>
          <t>LinkedIn job tracker status: Applied 5mo ago; location: Boston, MA (On-site)</t>
        </is>
      </c>
    </row>
    <row r="544">
      <c r="A544" t="inlineStr">
        <is>
          <t>SelectOne</t>
        </is>
      </c>
      <c r="B544" t="inlineStr">
        <is>
          <t>Director of Information Technology</t>
        </is>
      </c>
      <c r="C544" t="inlineStr">
        <is>
          <t>Applied (auto-submission via Simplify)</t>
        </is>
      </c>
      <c r="D544" t="inlineStr">
        <is>
          <t>LinkedIn (Simplify auto-apply, reconciled 2026-09-06)</t>
        </is>
      </c>
      <c r="E544" t="inlineStr">
        <is>
          <t>2026-09-06</t>
        </is>
      </c>
      <c r="F544" t="inlineStr">
        <is>
          <t>2026-09-06</t>
        </is>
      </c>
      <c r="G544" t="inlineStr">
        <is>
          <t>LinkedIn job tracker status: Applied 5mo ago; location: Buffalo-Niagara Falls Area (On-site)</t>
        </is>
      </c>
    </row>
    <row r="545">
      <c r="A545" t="inlineStr">
        <is>
          <t>Teacher's Federal Credit Union</t>
        </is>
      </c>
      <c r="B545" t="inlineStr">
        <is>
          <t>Security Operations Center (SOC) Analyst</t>
        </is>
      </c>
      <c r="C545" t="inlineStr">
        <is>
          <t>Applied (auto-submission via Simplify)</t>
        </is>
      </c>
      <c r="D545" t="inlineStr">
        <is>
          <t>LinkedIn (Simplify auto-apply, reconciled 2026-09-06)</t>
        </is>
      </c>
      <c r="E545" t="inlineStr">
        <is>
          <t>2026-09-06</t>
        </is>
      </c>
      <c r="F545" t="inlineStr">
        <is>
          <t>2026-09-06</t>
        </is>
      </c>
      <c r="G545" t="inlineStr">
        <is>
          <t>LinkedIn job tracker status: Applied 5mo ago; location: Hauppauge, NY</t>
        </is>
      </c>
    </row>
    <row r="546">
      <c r="A546" t="inlineStr">
        <is>
          <t>PROLIM Corporation</t>
        </is>
      </c>
      <c r="B546" t="inlineStr">
        <is>
          <t>GRC Analyst (Governance, Risk, Compliance)/Technology Risk Analyst</t>
        </is>
      </c>
      <c r="C546" t="inlineStr">
        <is>
          <t>Applied (auto-submission via Simplify)</t>
        </is>
      </c>
      <c r="D546" t="inlineStr">
        <is>
          <t>LinkedIn (Simplify auto-apply, reconciled 2026-09-06)</t>
        </is>
      </c>
      <c r="E546" t="inlineStr">
        <is>
          <t>2026-09-06</t>
        </is>
      </c>
      <c r="F546" t="inlineStr">
        <is>
          <t>2026-09-06</t>
        </is>
      </c>
      <c r="G546" t="inlineStr">
        <is>
          <t>LinkedIn job tracker status: Applied 5mo ago; location: Plano, TX (On-site)</t>
        </is>
      </c>
    </row>
    <row r="547">
      <c r="A547" t="inlineStr">
        <is>
          <t>Cyderes</t>
        </is>
      </c>
      <c r="B547" t="inlineStr">
        <is>
          <t>GRC Analyst</t>
        </is>
      </c>
      <c r="C547" t="inlineStr">
        <is>
          <t>Applied (auto-submission via Simplify)</t>
        </is>
      </c>
      <c r="D547" t="inlineStr">
        <is>
          <t>LinkedIn (Simplify auto-apply, reconciled 2026-09-06)</t>
        </is>
      </c>
      <c r="E547" t="inlineStr">
        <is>
          <t>2026-09-06</t>
        </is>
      </c>
      <c r="F547" t="inlineStr">
        <is>
          <t>2026-09-06</t>
        </is>
      </c>
      <c r="G547" t="inlineStr">
        <is>
          <t>LinkedIn job tracker status: Applied 5mo ago; location: Dallas, TX (Hybrid)</t>
        </is>
      </c>
    </row>
    <row r="548">
      <c r="A548" t="inlineStr">
        <is>
          <t>COGENT Infotech</t>
        </is>
      </c>
      <c r="B548" t="inlineStr">
        <is>
          <t>IAM Governance Engineer</t>
        </is>
      </c>
      <c r="C548" t="inlineStr">
        <is>
          <t>Applied (auto-submission via Simplify)</t>
        </is>
      </c>
      <c r="D548" t="inlineStr">
        <is>
          <t>LinkedIn (Simplify auto-apply, reconciled 2026-09-06)</t>
        </is>
      </c>
      <c r="E548" t="inlineStr">
        <is>
          <t>2026-09-06</t>
        </is>
      </c>
      <c r="F548" t="inlineStr">
        <is>
          <t>2026-09-06</t>
        </is>
      </c>
      <c r="G548" t="inlineStr">
        <is>
          <t>LinkedIn job tracker status: Applied 5mo ago; location: Plano, TX (On-site)</t>
        </is>
      </c>
    </row>
    <row r="549">
      <c r="A549" t="inlineStr">
        <is>
          <t>Crest Security Assurance</t>
        </is>
      </c>
      <c r="B549" t="inlineStr">
        <is>
          <t>Digital Forensics Analyst</t>
        </is>
      </c>
      <c r="C549" t="inlineStr">
        <is>
          <t>Applied (auto-submission via Simplify)</t>
        </is>
      </c>
      <c r="D549" t="inlineStr">
        <is>
          <t>LinkedIn (Simplify auto-apply, reconciled 2026-09-06)</t>
        </is>
      </c>
      <c r="E549" t="inlineStr">
        <is>
          <t>2026-09-06</t>
        </is>
      </c>
      <c r="F549" t="inlineStr">
        <is>
          <t>2026-09-06</t>
        </is>
      </c>
      <c r="G549" t="inlineStr">
        <is>
          <t>LinkedIn job tracker status: Applied 5mo ago; location: Smyrna, GA (On-site)</t>
        </is>
      </c>
    </row>
    <row r="550">
      <c r="A550" t="inlineStr">
        <is>
          <t>ClearpointCo</t>
        </is>
      </c>
      <c r="B550" t="inlineStr">
        <is>
          <t>Data Privacy Analyst</t>
        </is>
      </c>
      <c r="C550" t="inlineStr">
        <is>
          <t>Applied (auto-submission via Simplify)</t>
        </is>
      </c>
      <c r="D550" t="inlineStr">
        <is>
          <t>LinkedIn (Simplify auto-apply, reconciled 2026-09-06)</t>
        </is>
      </c>
      <c r="E550" t="inlineStr">
        <is>
          <t>2026-09-06</t>
        </is>
      </c>
      <c r="F550" t="inlineStr">
        <is>
          <t>2026-09-06</t>
        </is>
      </c>
      <c r="G550" t="inlineStr">
        <is>
          <t>LinkedIn job tracker status: Applied 5mo ago; location: Greater Houston (On-site)</t>
        </is>
      </c>
    </row>
    <row r="551">
      <c r="A551" t="inlineStr">
        <is>
          <t>Audit Data Search, Inc.</t>
        </is>
      </c>
      <c r="B551" t="inlineStr">
        <is>
          <t>Cyber Physical Security Manger</t>
        </is>
      </c>
      <c r="C551" t="inlineStr">
        <is>
          <t>Applied (auto-submission via Simplify)</t>
        </is>
      </c>
      <c r="D551" t="inlineStr">
        <is>
          <t>LinkedIn (Simplify auto-apply, reconciled 2026-09-06)</t>
        </is>
      </c>
      <c r="E551" t="inlineStr">
        <is>
          <t>2026-09-06</t>
        </is>
      </c>
      <c r="F551" t="inlineStr">
        <is>
          <t>2026-09-06</t>
        </is>
      </c>
      <c r="G551" t="inlineStr">
        <is>
          <t>LinkedIn job tracker status: Applied 5mo ago; location: Kansas City Metropolitan Area (Hybrid)</t>
        </is>
      </c>
    </row>
    <row r="552">
      <c r="A552" t="inlineStr">
        <is>
          <t>DetaPent</t>
        </is>
      </c>
      <c r="B552" t="inlineStr">
        <is>
          <t>Cyber Security Engineer</t>
        </is>
      </c>
      <c r="C552" t="inlineStr">
        <is>
          <t>Applied (auto-submission via Simplify)</t>
        </is>
      </c>
      <c r="D552" t="inlineStr">
        <is>
          <t>LinkedIn (Simplify auto-apply, reconciled 2026-09-06)</t>
        </is>
      </c>
      <c r="E552" t="inlineStr">
        <is>
          <t>2026-09-06</t>
        </is>
      </c>
      <c r="F552" t="inlineStr">
        <is>
          <t>2026-09-06</t>
        </is>
      </c>
      <c r="G552" t="inlineStr">
        <is>
          <t>LinkedIn job tracker status: Applied 5mo ago; location: Texas, United States (On-site)</t>
        </is>
      </c>
    </row>
    <row r="553">
      <c r="A553" t="inlineStr">
        <is>
          <t>SkillStorm</t>
        </is>
      </c>
      <c r="B553" t="inlineStr">
        <is>
          <t>Cyber Security Instructor</t>
        </is>
      </c>
      <c r="C553" t="inlineStr">
        <is>
          <t>Applied (auto-submission via Simplify)</t>
        </is>
      </c>
      <c r="D553" t="inlineStr">
        <is>
          <t>LinkedIn (Simplify auto-apply, reconciled 2026-09-06)</t>
        </is>
      </c>
      <c r="E553" t="inlineStr">
        <is>
          <t>2026-09-06</t>
        </is>
      </c>
      <c r="F553" t="inlineStr">
        <is>
          <t>2026-09-06</t>
        </is>
      </c>
      <c r="G553" t="inlineStr">
        <is>
          <t>LinkedIn job tracker status: Applied 5mo ago; location: Washington DC-Baltimore Area (Remote)</t>
        </is>
      </c>
    </row>
    <row r="554">
      <c r="A554" t="inlineStr">
        <is>
          <t>SES Corporation</t>
        </is>
      </c>
      <c r="B554" t="inlineStr">
        <is>
          <t>Cyber Security Analyst</t>
        </is>
      </c>
      <c r="C554" t="inlineStr">
        <is>
          <t>Applied (auto-submission via Simplify)</t>
        </is>
      </c>
      <c r="D554" t="inlineStr">
        <is>
          <t>LinkedIn (Simplify auto-apply, reconciled 2026-09-06)</t>
        </is>
      </c>
      <c r="E554" t="inlineStr">
        <is>
          <t>2026-09-06</t>
        </is>
      </c>
      <c r="F554" t="inlineStr">
        <is>
          <t>2026-09-06</t>
        </is>
      </c>
      <c r="G554" t="inlineStr">
        <is>
          <t>LinkedIn job tracker status: Applied 5mo ago; location: Boston, MA (Hybrid)</t>
        </is>
      </c>
    </row>
    <row r="555">
      <c r="A555" t="inlineStr">
        <is>
          <t>Fiserv</t>
        </is>
      </c>
      <c r="B555" t="inlineStr">
        <is>
          <t>Cyber Security Engineer</t>
        </is>
      </c>
      <c r="C555" t="inlineStr">
        <is>
          <t>Applied (auto-submission via Simplify)</t>
        </is>
      </c>
      <c r="D555" t="inlineStr">
        <is>
          <t>LinkedIn (Simplify auto-apply, reconciled 2026-09-06)</t>
        </is>
      </c>
      <c r="E555" t="inlineStr">
        <is>
          <t>2026-09-06</t>
        </is>
      </c>
      <c r="F555" t="inlineStr">
        <is>
          <t>2026-09-06</t>
        </is>
      </c>
      <c r="G555" t="inlineStr">
        <is>
          <t>LinkedIn job tracker status: Applied 5mo ago; location: Berkeley Heights, NJ</t>
        </is>
      </c>
    </row>
    <row r="556">
      <c r="A556" t="inlineStr">
        <is>
          <t>Wisdom Infotech</t>
        </is>
      </c>
      <c r="B556" t="inlineStr">
        <is>
          <t>GRC Analyst</t>
        </is>
      </c>
      <c r="C556" t="inlineStr">
        <is>
          <t>Applied (auto-submission via Simplify)</t>
        </is>
      </c>
      <c r="D556" t="inlineStr">
        <is>
          <t>LinkedIn (Simplify auto-apply, reconciled 2026-09-06)</t>
        </is>
      </c>
      <c r="E556" t="inlineStr">
        <is>
          <t>2026-09-06</t>
        </is>
      </c>
      <c r="F556" t="inlineStr">
        <is>
          <t>2026-09-06</t>
        </is>
      </c>
      <c r="G556" t="inlineStr">
        <is>
          <t>LinkedIn job tracker status: Applied 5mo ago; location: Tampa, FL (On-site)</t>
        </is>
      </c>
    </row>
    <row r="557">
      <c r="A557" t="inlineStr">
        <is>
          <t>vTech Solution Inc</t>
        </is>
      </c>
      <c r="B557" t="inlineStr">
        <is>
          <t>Cyber Security Analyst</t>
        </is>
      </c>
      <c r="C557" t="inlineStr">
        <is>
          <t>Applied (auto-submission via Simplify)</t>
        </is>
      </c>
      <c r="D557" t="inlineStr">
        <is>
          <t>LinkedIn (Simplify auto-apply, reconciled 2026-09-06)</t>
        </is>
      </c>
      <c r="E557" t="inlineStr">
        <is>
          <t>2026-09-06</t>
        </is>
      </c>
      <c r="F557" t="inlineStr">
        <is>
          <t>2026-09-06</t>
        </is>
      </c>
      <c r="G557" t="inlineStr">
        <is>
          <t>LinkedIn job tracker status: Applied 5mo ago; location: Augusta, ME (On-site)</t>
        </is>
      </c>
    </row>
    <row r="558">
      <c r="A558" t="inlineStr">
        <is>
          <t>DivIHN Integration Inc</t>
        </is>
      </c>
      <c r="B558" t="inlineStr">
        <is>
          <t>Cyber Security Specialist</t>
        </is>
      </c>
      <c r="C558" t="inlineStr">
        <is>
          <t>Applied (auto-submission via Simplify)</t>
        </is>
      </c>
      <c r="D558" t="inlineStr">
        <is>
          <t>LinkedIn (Simplify auto-apply, reconciled 2026-09-06)</t>
        </is>
      </c>
      <c r="E558" t="inlineStr">
        <is>
          <t>2026-09-06</t>
        </is>
      </c>
      <c r="F558" t="inlineStr">
        <is>
          <t>2026-09-06</t>
        </is>
      </c>
      <c r="G558" t="inlineStr">
        <is>
          <t>LinkedIn job tracker status: Applied 5mo ago; location: St Paul, MN (On-site)</t>
        </is>
      </c>
    </row>
    <row r="559">
      <c r="A559" t="inlineStr">
        <is>
          <t>CNM LLP</t>
        </is>
      </c>
      <c r="B559" t="inlineStr">
        <is>
          <t>Director- IT Internal Audit Advisory</t>
        </is>
      </c>
      <c r="C559" t="inlineStr">
        <is>
          <t>Applied (auto-submission via Simplify)</t>
        </is>
      </c>
      <c r="D559" t="inlineStr">
        <is>
          <t>LinkedIn (Simplify auto-apply, reconciled 2026-09-06)</t>
        </is>
      </c>
      <c r="E559" t="inlineStr">
        <is>
          <t>2026-09-06</t>
        </is>
      </c>
      <c r="F559" t="inlineStr">
        <is>
          <t>2026-09-06</t>
        </is>
      </c>
      <c r="G559" t="inlineStr">
        <is>
          <t>LinkedIn job tracker status: Applied 5mo ago; location: Los Angeles Metropolitan Area (Hybrid)</t>
        </is>
      </c>
    </row>
    <row r="560">
      <c r="A560" t="inlineStr">
        <is>
          <t>TA Services</t>
        </is>
      </c>
      <c r="B560" t="inlineStr">
        <is>
          <t>Cybersecurity Analyst</t>
        </is>
      </c>
      <c r="C560" t="inlineStr">
        <is>
          <t>Applied (auto-submission via Simplify)</t>
        </is>
      </c>
      <c r="D560" t="inlineStr">
        <is>
          <t>LinkedIn (Simplify auto-apply, reconciled 2026-09-06)</t>
        </is>
      </c>
      <c r="E560" t="inlineStr">
        <is>
          <t>2026-09-06</t>
        </is>
      </c>
      <c r="F560" t="inlineStr">
        <is>
          <t>2026-09-06</t>
        </is>
      </c>
      <c r="G560" t="inlineStr">
        <is>
          <t>LinkedIn job tracker status: Applied 5mo ago; location: Leeds, AL</t>
        </is>
      </c>
    </row>
    <row r="561">
      <c r="A561" t="inlineStr">
        <is>
          <t>Pontoon Solutions</t>
        </is>
      </c>
      <c r="B561" t="inlineStr">
        <is>
          <t>Information Technology Project Manager</t>
        </is>
      </c>
      <c r="C561" t="inlineStr">
        <is>
          <t>Applied (auto-submission via Simplify)</t>
        </is>
      </c>
      <c r="D561" t="inlineStr">
        <is>
          <t>LinkedIn (Simplify auto-apply, reconciled 2026-09-06)</t>
        </is>
      </c>
      <c r="E561" t="inlineStr">
        <is>
          <t>2026-09-06</t>
        </is>
      </c>
      <c r="F561" t="inlineStr">
        <is>
          <t>2026-09-06</t>
        </is>
      </c>
      <c r="G561" t="inlineStr">
        <is>
          <t>LinkedIn job tracker status: Applied 5mo ago; location: United States (Remote)</t>
        </is>
      </c>
    </row>
    <row r="562">
      <c r="A562" t="inlineStr">
        <is>
          <t>Kinomatic</t>
        </is>
      </c>
      <c r="B562" t="inlineStr">
        <is>
          <t>Cybersecurity &amp; Compliance Manager</t>
        </is>
      </c>
      <c r="C562" t="inlineStr">
        <is>
          <t>Applied (auto-submission via Simplify)</t>
        </is>
      </c>
      <c r="D562" t="inlineStr">
        <is>
          <t>LinkedIn (Simplify auto-apply, reconciled 2026-09-06)</t>
        </is>
      </c>
      <c r="E562" t="inlineStr">
        <is>
          <t>2026-09-06</t>
        </is>
      </c>
      <c r="F562" t="inlineStr">
        <is>
          <t>2026-09-06</t>
        </is>
      </c>
      <c r="G562" t="inlineStr">
        <is>
          <t>LinkedIn job tracker status: Applied 5mo ago; location: Greater Cleveland (Hybrid)</t>
        </is>
      </c>
    </row>
    <row r="563">
      <c r="A563" t="inlineStr">
        <is>
          <t>Agile Resources, Inc.</t>
        </is>
      </c>
      <c r="B563" t="inlineStr">
        <is>
          <t>Cyber Security Engineer</t>
        </is>
      </c>
      <c r="C563" t="inlineStr">
        <is>
          <t>Applied (auto-submission via Simplify)</t>
        </is>
      </c>
      <c r="D563" t="inlineStr">
        <is>
          <t>LinkedIn (Simplify auto-apply, reconciled 2026-09-06)</t>
        </is>
      </c>
      <c r="E563" t="inlineStr">
        <is>
          <t>2026-09-06</t>
        </is>
      </c>
      <c r="F563" t="inlineStr">
        <is>
          <t>2026-09-06</t>
        </is>
      </c>
      <c r="G563" t="inlineStr">
        <is>
          <t>LinkedIn job tracker status: Applied 5mo ago; location: Atlanta, GA (Remote)</t>
        </is>
      </c>
    </row>
    <row r="564">
      <c r="A564" t="inlineStr">
        <is>
          <t>Fulcrum Technology Solutions</t>
        </is>
      </c>
      <c r="B564" t="inlineStr">
        <is>
          <t>Information Technology Security Manager</t>
        </is>
      </c>
      <c r="C564" t="inlineStr">
        <is>
          <t>Applied (auto-submission via Simplify)</t>
        </is>
      </c>
      <c r="D564" t="inlineStr">
        <is>
          <t>LinkedIn (Simplify auto-apply, reconciled 2026-09-06)</t>
        </is>
      </c>
      <c r="E564" t="inlineStr">
        <is>
          <t>2026-09-06</t>
        </is>
      </c>
      <c r="F564" t="inlineStr">
        <is>
          <t>2026-09-06</t>
        </is>
      </c>
      <c r="G564" t="inlineStr">
        <is>
          <t>LinkedIn job tracker status: Applied 5mo ago; location: Houston, TX (Hybrid)</t>
        </is>
      </c>
    </row>
    <row r="565">
      <c r="A565" t="inlineStr">
        <is>
          <t>Innoventrics</t>
        </is>
      </c>
      <c r="B565" t="inlineStr">
        <is>
          <t>Information Security Analyst</t>
        </is>
      </c>
      <c r="C565" t="inlineStr">
        <is>
          <t>Applied (auto-submission via Simplify)</t>
        </is>
      </c>
      <c r="D565" t="inlineStr">
        <is>
          <t>LinkedIn (Simplify auto-apply, reconciled 2026-09-06)</t>
        </is>
      </c>
      <c r="E565" t="inlineStr">
        <is>
          <t>2026-09-06</t>
        </is>
      </c>
      <c r="F565" t="inlineStr">
        <is>
          <t>2026-09-06</t>
        </is>
      </c>
      <c r="G565" t="inlineStr">
        <is>
          <t>LinkedIn job tracker status: Applied 5mo ago; location: Chandler, AZ (Hybrid)</t>
        </is>
      </c>
    </row>
    <row r="566">
      <c r="A566" t="inlineStr">
        <is>
          <t>Pengcorp Ltd.</t>
        </is>
      </c>
      <c r="B566" t="inlineStr">
        <is>
          <t>OT Network Cybersecurity Systems Specialist</t>
        </is>
      </c>
      <c r="C566" t="inlineStr">
        <is>
          <t>Applied (auto-submission via Simplify)</t>
        </is>
      </c>
      <c r="D566" t="inlineStr">
        <is>
          <t>LinkedIn (Simplify auto-apply, reconciled 2026-09-06)</t>
        </is>
      </c>
      <c r="E566" t="inlineStr">
        <is>
          <t>2026-09-06</t>
        </is>
      </c>
      <c r="F566" t="inlineStr">
        <is>
          <t>2026-09-06</t>
        </is>
      </c>
      <c r="G566" t="inlineStr">
        <is>
          <t>LinkedIn job tracker status: Applied 5mo ago; location: Houston, TX (Hybrid)</t>
        </is>
      </c>
    </row>
    <row r="567">
      <c r="A567" t="inlineStr">
        <is>
          <t>Centraprise</t>
        </is>
      </c>
      <c r="B567" t="inlineStr">
        <is>
          <t>Cyber Project Manager</t>
        </is>
      </c>
      <c r="C567" t="inlineStr">
        <is>
          <t>Applied (auto-submission via Simplify)</t>
        </is>
      </c>
      <c r="D567" t="inlineStr">
        <is>
          <t>LinkedIn (Simplify auto-apply, reconciled 2026-09-06)</t>
        </is>
      </c>
      <c r="E567" t="inlineStr">
        <is>
          <t>2026-09-06</t>
        </is>
      </c>
      <c r="F567" t="inlineStr">
        <is>
          <t>2026-09-06</t>
        </is>
      </c>
      <c r="G567" t="inlineStr">
        <is>
          <t>LinkedIn job tracker status: Applied 5mo ago; location: Cleveland, OH (On-site)</t>
        </is>
      </c>
    </row>
    <row r="568">
      <c r="A568" t="inlineStr">
        <is>
          <t>CIBR Warriors</t>
        </is>
      </c>
      <c r="B568" t="inlineStr">
        <is>
          <t>Offensive AI Security Analyst</t>
        </is>
      </c>
      <c r="C568" t="inlineStr">
        <is>
          <t>Applied (auto-submission via Simplify)</t>
        </is>
      </c>
      <c r="D568" t="inlineStr">
        <is>
          <t>LinkedIn (Simplify auto-apply, reconciled 2026-09-06)</t>
        </is>
      </c>
      <c r="E568" t="inlineStr">
        <is>
          <t>2026-09-06</t>
        </is>
      </c>
      <c r="F568" t="inlineStr">
        <is>
          <t>2026-09-06</t>
        </is>
      </c>
      <c r="G568" t="inlineStr">
        <is>
          <t>LinkedIn job tracker status: Applied 5mo ago; location: Dallas-Fort Worth Metroplex (Hybrid)</t>
        </is>
      </c>
    </row>
    <row r="569">
      <c r="A569" t="inlineStr">
        <is>
          <t>Franklin Fitch</t>
        </is>
      </c>
      <c r="B569" t="inlineStr">
        <is>
          <t>Cyber Security Analyst</t>
        </is>
      </c>
      <c r="C569" t="inlineStr">
        <is>
          <t>Applied (auto-submission via Simplify)</t>
        </is>
      </c>
      <c r="D569" t="inlineStr">
        <is>
          <t>LinkedIn (Simplify auto-apply, reconciled 2026-09-06)</t>
        </is>
      </c>
      <c r="E569" t="inlineStr">
        <is>
          <t>2026-09-06</t>
        </is>
      </c>
      <c r="F569" t="inlineStr">
        <is>
          <t>2026-09-06</t>
        </is>
      </c>
      <c r="G569" t="inlineStr">
        <is>
          <t>LinkedIn job tracker status: Applied 5mo ago; location: Charlotte, NC (Hybrid)</t>
        </is>
      </c>
    </row>
    <row r="570">
      <c r="A570" t="inlineStr">
        <is>
          <t>Encore Talent Solutions</t>
        </is>
      </c>
      <c r="B570" t="inlineStr">
        <is>
          <t>Cyber Security/Compliance Analyst</t>
        </is>
      </c>
      <c r="C570" t="inlineStr">
        <is>
          <t>Applied (auto-submission via Simplify)</t>
        </is>
      </c>
      <c r="D570" t="inlineStr">
        <is>
          <t>LinkedIn (Simplify auto-apply, reconciled 2026-09-06)</t>
        </is>
      </c>
      <c r="E570" t="inlineStr">
        <is>
          <t>2026-09-06</t>
        </is>
      </c>
      <c r="F570" t="inlineStr">
        <is>
          <t>2026-09-06</t>
        </is>
      </c>
      <c r="G570" t="inlineStr">
        <is>
          <t>LinkedIn job tracker status: Applied 5mo ago; location: Erlanger, KY (On-site)</t>
        </is>
      </c>
    </row>
    <row r="571">
      <c r="A571" t="inlineStr">
        <is>
          <t>CBIZ Talent Solutions</t>
        </is>
      </c>
      <c r="B571" t="inlineStr">
        <is>
          <t>Assistant/Associate Professor, Cybersecurity - Emporia State University</t>
        </is>
      </c>
      <c r="C571" t="inlineStr">
        <is>
          <t>Applied (auto-submission via Simplify)</t>
        </is>
      </c>
      <c r="D571" t="inlineStr">
        <is>
          <t>LinkedIn (Simplify auto-apply, reconciled 2026-09-06)</t>
        </is>
      </c>
      <c r="E571" t="inlineStr">
        <is>
          <t>2026-09-06</t>
        </is>
      </c>
      <c r="F571" t="inlineStr">
        <is>
          <t>2026-09-06</t>
        </is>
      </c>
      <c r="G571" t="inlineStr">
        <is>
          <t>LinkedIn job tracker status: Applied 5mo ago; location: Emporia, KS (On-site)</t>
        </is>
      </c>
    </row>
    <row r="572">
      <c r="A572" t="inlineStr">
        <is>
          <t>Ladders</t>
        </is>
      </c>
      <c r="B572" t="inlineStr">
        <is>
          <t>Threat Researcher (AI)</t>
        </is>
      </c>
      <c r="C572" t="inlineStr">
        <is>
          <t>Applied (auto-submission via Simplify)</t>
        </is>
      </c>
      <c r="D572" t="inlineStr">
        <is>
          <t>LinkedIn (Simplify auto-apply, reconciled 2026-09-06)</t>
        </is>
      </c>
      <c r="E572" t="inlineStr">
        <is>
          <t>2026-09-06</t>
        </is>
      </c>
      <c r="F572" t="inlineStr">
        <is>
          <t>2026-09-06</t>
        </is>
      </c>
      <c r="G572" t="inlineStr">
        <is>
          <t>LinkedIn job tracker status: Applied 5mo ago; location: United States (Remote)</t>
        </is>
      </c>
    </row>
    <row r="573">
      <c r="A573" t="inlineStr">
        <is>
          <t>Upstart</t>
        </is>
      </c>
      <c r="B573" t="inlineStr">
        <is>
          <t>Detection Engineer</t>
        </is>
      </c>
      <c r="C573" t="inlineStr">
        <is>
          <t>Applied (auto-submission via Simplify)</t>
        </is>
      </c>
      <c r="D573" t="inlineStr">
        <is>
          <t>LinkedIn (Simplify auto-apply, reconciled 2026-09-06)</t>
        </is>
      </c>
      <c r="E573" t="inlineStr">
        <is>
          <t>2026-09-06</t>
        </is>
      </c>
      <c r="F573" t="inlineStr">
        <is>
          <t>2026-09-06</t>
        </is>
      </c>
      <c r="G573" t="inlineStr">
        <is>
          <t>LinkedIn job tracker status: Applied 5mo ago; location: United States (Remote)</t>
        </is>
      </c>
    </row>
    <row r="574">
      <c r="A574" t="inlineStr">
        <is>
          <t>Metasys Technologies</t>
        </is>
      </c>
      <c r="B574" t="inlineStr">
        <is>
          <t>Cyber Risk Management Engineer</t>
        </is>
      </c>
      <c r="C574" t="inlineStr">
        <is>
          <t>Applied (auto-submission via Simplify)</t>
        </is>
      </c>
      <c r="D574" t="inlineStr">
        <is>
          <t>LinkedIn (Simplify auto-apply, reconciled 2026-09-06)</t>
        </is>
      </c>
      <c r="E574" t="inlineStr">
        <is>
          <t>2026-09-06</t>
        </is>
      </c>
      <c r="F574" t="inlineStr">
        <is>
          <t>2026-09-06</t>
        </is>
      </c>
      <c r="G574" t="inlineStr">
        <is>
          <t>LinkedIn job tracker status: Applied 5mo ago; location: Oakland, CA (Hybrid)</t>
        </is>
      </c>
    </row>
    <row r="575">
      <c r="A575" t="inlineStr">
        <is>
          <t>Bryan School of Business and Economics at UNCG</t>
        </is>
      </c>
      <c r="B575" t="inlineStr">
        <is>
          <t>Full Time Lecturer - Information Systems</t>
        </is>
      </c>
      <c r="C575" t="inlineStr">
        <is>
          <t>Applied (auto-submission via Simplify)</t>
        </is>
      </c>
      <c r="D575" t="inlineStr">
        <is>
          <t>LinkedIn (Simplify auto-apply, reconciled 2026-09-06)</t>
        </is>
      </c>
      <c r="E575" t="inlineStr">
        <is>
          <t>2026-09-06</t>
        </is>
      </c>
      <c r="F575" t="inlineStr">
        <is>
          <t>2026-09-06</t>
        </is>
      </c>
      <c r="G575" t="inlineStr">
        <is>
          <t>LinkedIn job tracker status: Applied 5mo ago; location: Greensboro--Winston-Salem--High Point Area (On-site)</t>
        </is>
      </c>
    </row>
    <row r="576">
      <c r="A576" t="inlineStr">
        <is>
          <t>STAFFWORXS</t>
        </is>
      </c>
      <c r="B576" t="inlineStr">
        <is>
          <t>Cyber Simulation Content Developer and Trainer</t>
        </is>
      </c>
      <c r="C576" t="inlineStr">
        <is>
          <t>Applied (auto-submission via Simplify)</t>
        </is>
      </c>
      <c r="D576" t="inlineStr">
        <is>
          <t>LinkedIn (Simplify auto-apply, reconciled 2026-09-06)</t>
        </is>
      </c>
      <c r="E576" t="inlineStr">
        <is>
          <t>2026-09-06</t>
        </is>
      </c>
      <c r="F576" t="inlineStr">
        <is>
          <t>2026-09-06</t>
        </is>
      </c>
      <c r="G576" t="inlineStr">
        <is>
          <t>LinkedIn job tracker status: Applied 5mo ago; location: New York City Metropolitan Area (Hybrid)</t>
        </is>
      </c>
    </row>
    <row r="577">
      <c r="A577" t="inlineStr">
        <is>
          <t>Donnelly &amp; Moore Corporation</t>
        </is>
      </c>
      <c r="B577" t="inlineStr">
        <is>
          <t>The Cyber Simulation Content Developer and Trainer</t>
        </is>
      </c>
      <c r="C577" t="inlineStr">
        <is>
          <t>Applied (auto-submission via Simplify)</t>
        </is>
      </c>
      <c r="D577" t="inlineStr">
        <is>
          <t>LinkedIn (Simplify auto-apply, reconciled 2026-09-06)</t>
        </is>
      </c>
      <c r="E577" t="inlineStr">
        <is>
          <t>2026-09-06</t>
        </is>
      </c>
      <c r="F577" t="inlineStr">
        <is>
          <t>2026-09-06</t>
        </is>
      </c>
      <c r="G577" t="inlineStr">
        <is>
          <t>LinkedIn job tracker status: Applied 5mo ago; location: Brooklyn, NY (Hybrid)</t>
        </is>
      </c>
    </row>
    <row r="578">
      <c r="A578" t="inlineStr">
        <is>
          <t>BuzzClan</t>
        </is>
      </c>
      <c r="B578" t="inlineStr">
        <is>
          <t>Cybersecurity Risk Analyst</t>
        </is>
      </c>
      <c r="C578" t="inlineStr">
        <is>
          <t>Applied (auto-submission via Simplify)</t>
        </is>
      </c>
      <c r="D578" t="inlineStr">
        <is>
          <t>LinkedIn (Simplify auto-apply, reconciled 2026-09-06)</t>
        </is>
      </c>
      <c r="E578" t="inlineStr">
        <is>
          <t>2026-09-06</t>
        </is>
      </c>
      <c r="F578" t="inlineStr">
        <is>
          <t>2026-09-06</t>
        </is>
      </c>
      <c r="G578" t="inlineStr">
        <is>
          <t>LinkedIn job tracker status: Applied 5mo ago; location: Lansing, MI (On-site)</t>
        </is>
      </c>
    </row>
    <row r="579">
      <c r="A579" t="inlineStr">
        <is>
          <t>Joveo</t>
        </is>
      </c>
      <c r="B579" t="inlineStr">
        <is>
          <t>Director of Solutions</t>
        </is>
      </c>
      <c r="C579" t="inlineStr">
        <is>
          <t>Applied (auto-submission via Simplify)</t>
        </is>
      </c>
      <c r="D579" t="inlineStr">
        <is>
          <t>LinkedIn (Simplify auto-apply, reconciled 2026-09-06)</t>
        </is>
      </c>
      <c r="E579" t="inlineStr">
        <is>
          <t>2026-09-06</t>
        </is>
      </c>
      <c r="F579" t="inlineStr">
        <is>
          <t>2026-09-06</t>
        </is>
      </c>
      <c r="G579" t="inlineStr">
        <is>
          <t>LinkedIn job tracker status: Applied 5mo ago; location: United States (Remote)</t>
        </is>
      </c>
    </row>
    <row r="580">
      <c r="A580" t="inlineStr">
        <is>
          <t>The Planet Group</t>
        </is>
      </c>
      <c r="B580" t="inlineStr">
        <is>
          <t>Cyber Security Compliance and Awareness Analyst</t>
        </is>
      </c>
      <c r="C580" t="inlineStr">
        <is>
          <t>Applied (auto-submission via Simplify)</t>
        </is>
      </c>
      <c r="D580" t="inlineStr">
        <is>
          <t>LinkedIn (Simplify auto-apply, reconciled 2026-09-06)</t>
        </is>
      </c>
      <c r="E580" t="inlineStr">
        <is>
          <t>2026-09-06</t>
        </is>
      </c>
      <c r="F580" t="inlineStr">
        <is>
          <t>2026-09-06</t>
        </is>
      </c>
      <c r="G580" t="inlineStr">
        <is>
          <t>LinkedIn job tracker status: Applied 5mo ago; location: Cincinnati Metropolitan Area (On-site)</t>
        </is>
      </c>
    </row>
    <row r="581">
      <c r="A581" t="inlineStr">
        <is>
          <t>RandomTrees</t>
        </is>
      </c>
      <c r="B581" t="inlineStr">
        <is>
          <t>Cyber Security Business System Analyst</t>
        </is>
      </c>
      <c r="C581" t="inlineStr">
        <is>
          <t>Applied (auto-submission via Simplify)</t>
        </is>
      </c>
      <c r="D581" t="inlineStr">
        <is>
          <t>LinkedIn (Simplify auto-apply, reconciled 2026-09-06)</t>
        </is>
      </c>
      <c r="E581" t="inlineStr">
        <is>
          <t>2026-09-06</t>
        </is>
      </c>
      <c r="F581" t="inlineStr">
        <is>
          <t>2026-09-06</t>
        </is>
      </c>
      <c r="G581" t="inlineStr">
        <is>
          <t>LinkedIn job tracker status: Applied 5mo ago; location: United States (Remote)</t>
        </is>
      </c>
    </row>
    <row r="582">
      <c r="A582" t="inlineStr">
        <is>
          <t>Career Soft Solutions Inc</t>
        </is>
      </c>
      <c r="B582" t="inlineStr">
        <is>
          <t>Junior ISRM Threat Analyst</t>
        </is>
      </c>
      <c r="C582" t="inlineStr">
        <is>
          <t>Applied (auto-submission via Simplify)</t>
        </is>
      </c>
      <c r="D582" t="inlineStr">
        <is>
          <t>LinkedIn (Simplify auto-apply, reconciled 2026-09-06)</t>
        </is>
      </c>
      <c r="E582" t="inlineStr">
        <is>
          <t>2026-09-06</t>
        </is>
      </c>
      <c r="F582" t="inlineStr">
        <is>
          <t>2026-09-06</t>
        </is>
      </c>
      <c r="G582" t="inlineStr">
        <is>
          <t>LinkedIn job tracker status: Applied 5mo ago; location: New York, United States (Remote)</t>
        </is>
      </c>
    </row>
    <row r="583">
      <c r="A583" t="inlineStr">
        <is>
          <t>Tranzeal Incorporated</t>
        </is>
      </c>
      <c r="B583" t="inlineStr">
        <is>
          <t>Cyber Risk Management Engineer</t>
        </is>
      </c>
      <c r="C583" t="inlineStr">
        <is>
          <t>Applied (auto-submission via Simplify)</t>
        </is>
      </c>
      <c r="D583" t="inlineStr">
        <is>
          <t>LinkedIn (Simplify auto-apply, reconciled 2026-09-06)</t>
        </is>
      </c>
      <c r="E583" t="inlineStr">
        <is>
          <t>2026-09-06</t>
        </is>
      </c>
      <c r="F583" t="inlineStr">
        <is>
          <t>2026-09-06</t>
        </is>
      </c>
      <c r="G583" t="inlineStr">
        <is>
          <t>LinkedIn job tracker status: Applied 5mo ago; location: San Francisco Bay Area (On-site)</t>
        </is>
      </c>
    </row>
    <row r="584">
      <c r="A584" t="inlineStr">
        <is>
          <t>Codinism Inc</t>
        </is>
      </c>
      <c r="B584" t="inlineStr">
        <is>
          <t>Lecturer (Faculty), Computer Science</t>
        </is>
      </c>
      <c r="C584" t="inlineStr">
        <is>
          <t>Applied (auto-submission via Simplify)</t>
        </is>
      </c>
      <c r="D584" t="inlineStr">
        <is>
          <t>LinkedIn (Simplify auto-apply, reconciled 2026-09-06)</t>
        </is>
      </c>
      <c r="E584" t="inlineStr">
        <is>
          <t>2026-09-06</t>
        </is>
      </c>
      <c r="F584" t="inlineStr">
        <is>
          <t>2026-09-06</t>
        </is>
      </c>
      <c r="G584" t="inlineStr">
        <is>
          <t>LinkedIn job tracker status: Applied 5mo ago; location: Austin, TX (On-site)</t>
        </is>
      </c>
    </row>
    <row r="585">
      <c r="A585" t="inlineStr">
        <is>
          <t>BlueStar Pros</t>
        </is>
      </c>
      <c r="B585" t="inlineStr">
        <is>
          <t>Cybersecurity Architect</t>
        </is>
      </c>
      <c r="C585" t="inlineStr">
        <is>
          <t>Applied (auto-submission via Simplify)</t>
        </is>
      </c>
      <c r="D585" t="inlineStr">
        <is>
          <t>LinkedIn (Simplify auto-apply, reconciled 2026-09-06)</t>
        </is>
      </c>
      <c r="E585" t="inlineStr">
        <is>
          <t>2026-09-06</t>
        </is>
      </c>
      <c r="F585" t="inlineStr">
        <is>
          <t>2026-09-06</t>
        </is>
      </c>
      <c r="G585" t="inlineStr">
        <is>
          <t>LinkedIn job tracker status: Applied 5mo ago; location: Washington, DC (Hybrid)</t>
        </is>
      </c>
    </row>
    <row r="586">
      <c r="A586" t="inlineStr">
        <is>
          <t>BlueStar Pros</t>
        </is>
      </c>
      <c r="B586" t="inlineStr">
        <is>
          <t>Cybersecurity Analyst</t>
        </is>
      </c>
      <c r="C586" t="inlineStr">
        <is>
          <t>Applied (auto-submission via Simplify)</t>
        </is>
      </c>
      <c r="D586" t="inlineStr">
        <is>
          <t>LinkedIn (Simplify auto-apply, reconciled 2026-09-06)</t>
        </is>
      </c>
      <c r="E586" t="inlineStr">
        <is>
          <t>2026-09-06</t>
        </is>
      </c>
      <c r="F586" t="inlineStr">
        <is>
          <t>2026-09-06</t>
        </is>
      </c>
      <c r="G586" t="inlineStr">
        <is>
          <t>LinkedIn job tracker status: Applied 5mo ago; location: Washington, DC (Hybrid)</t>
        </is>
      </c>
    </row>
    <row r="587">
      <c r="A587" t="inlineStr">
        <is>
          <t>CBTS</t>
        </is>
      </c>
      <c r="B587" t="inlineStr">
        <is>
          <t>Cyber Defense Engineer(no third party, only W2)</t>
        </is>
      </c>
      <c r="C587" t="inlineStr">
        <is>
          <t>Applied (auto-submission via Simplify)</t>
        </is>
      </c>
      <c r="D587" t="inlineStr">
        <is>
          <t>LinkedIn (Simplify auto-apply, reconciled 2026-09-06)</t>
        </is>
      </c>
      <c r="E587" t="inlineStr">
        <is>
          <t>2026-09-06</t>
        </is>
      </c>
      <c r="F587" t="inlineStr">
        <is>
          <t>2026-09-06</t>
        </is>
      </c>
      <c r="G587" t="inlineStr">
        <is>
          <t>LinkedIn job tracker status: Applied 5mo ago; location: Irving, TX (On-site)</t>
        </is>
      </c>
    </row>
    <row r="588">
      <c r="A588" t="inlineStr">
        <is>
          <t>Kforce Inc</t>
        </is>
      </c>
      <c r="B588" t="inlineStr">
        <is>
          <t>Governance Risk and Compliance Analyst</t>
        </is>
      </c>
      <c r="C588" t="inlineStr">
        <is>
          <t>Applied (auto-submission via Simplify)</t>
        </is>
      </c>
      <c r="D588" t="inlineStr">
        <is>
          <t>LinkedIn (Simplify auto-apply, reconciled 2026-09-06)</t>
        </is>
      </c>
      <c r="E588" t="inlineStr">
        <is>
          <t>2026-09-06</t>
        </is>
      </c>
      <c r="F588" t="inlineStr">
        <is>
          <t>2026-09-06</t>
        </is>
      </c>
      <c r="G588" t="inlineStr">
        <is>
          <t>LinkedIn job tracker status: Applied 5mo ago; location: McKinney, TX (Hybrid)</t>
        </is>
      </c>
    </row>
    <row r="589">
      <c r="A589" t="inlineStr">
        <is>
          <t>Maven Companies Inc.</t>
        </is>
      </c>
      <c r="B589" t="inlineStr">
        <is>
          <t>Cyber Security Engineer</t>
        </is>
      </c>
      <c r="C589" t="inlineStr">
        <is>
          <t>Applied (auto-submission via Simplify)</t>
        </is>
      </c>
      <c r="D589" t="inlineStr">
        <is>
          <t>LinkedIn (Simplify auto-apply, reconciled 2026-09-06)</t>
        </is>
      </c>
      <c r="E589" t="inlineStr">
        <is>
          <t>2026-09-06</t>
        </is>
      </c>
      <c r="F589" t="inlineStr">
        <is>
          <t>2026-09-06</t>
        </is>
      </c>
      <c r="G589" t="inlineStr">
        <is>
          <t>LinkedIn job tracker status: Applied 5mo ago; location: The Woodlands, TX (Hybrid)</t>
        </is>
      </c>
    </row>
    <row r="590">
      <c r="A590" t="inlineStr">
        <is>
          <t>VC5 Consulting</t>
        </is>
      </c>
      <c r="B590" t="inlineStr">
        <is>
          <t>Cybersecurity Engineer</t>
        </is>
      </c>
      <c r="C590" t="inlineStr">
        <is>
          <t>Applied (auto-submission via Simplify)</t>
        </is>
      </c>
      <c r="D590" t="inlineStr">
        <is>
          <t>LinkedIn (Simplify auto-apply, reconciled 2026-09-06)</t>
        </is>
      </c>
      <c r="E590" t="inlineStr">
        <is>
          <t>2026-09-06</t>
        </is>
      </c>
      <c r="F590" t="inlineStr">
        <is>
          <t>2026-09-06</t>
        </is>
      </c>
      <c r="G590" t="inlineStr">
        <is>
          <t>LinkedIn job tracker status: Applied 5mo ago; location: Houston, TX (On-site)</t>
        </is>
      </c>
    </row>
    <row r="591">
      <c r="A591" t="inlineStr">
        <is>
          <t>PayNearMe</t>
        </is>
      </c>
      <c r="B591" t="inlineStr">
        <is>
          <t>AI Security Engineer - Remote</t>
        </is>
      </c>
      <c r="C591" t="inlineStr">
        <is>
          <t>Applied (auto-submission via Simplify)</t>
        </is>
      </c>
      <c r="D591" t="inlineStr">
        <is>
          <t>LinkedIn (Simplify auto-apply, reconciled 2026-09-06)</t>
        </is>
      </c>
      <c r="E591" t="inlineStr">
        <is>
          <t>2026-09-06</t>
        </is>
      </c>
      <c r="F591" t="inlineStr">
        <is>
          <t>2026-09-06</t>
        </is>
      </c>
      <c r="G591" t="inlineStr">
        <is>
          <t>LinkedIn job tracker status: Applied 5mo ago; location: Santa Clara, CA (Remote)</t>
        </is>
      </c>
    </row>
    <row r="592">
      <c r="A592" t="inlineStr">
        <is>
          <t>SecureCyber</t>
        </is>
      </c>
      <c r="B592" t="inlineStr">
        <is>
          <t>Cybersecurity Advisor</t>
        </is>
      </c>
      <c r="C592" t="inlineStr">
        <is>
          <t>Applied (auto-submission via Simplify)</t>
        </is>
      </c>
      <c r="D592" t="inlineStr">
        <is>
          <t>LinkedIn (Simplify auto-apply, reconciled 2026-09-06)</t>
        </is>
      </c>
      <c r="E592" t="inlineStr">
        <is>
          <t>2026-09-06</t>
        </is>
      </c>
      <c r="F592" t="inlineStr">
        <is>
          <t>2026-09-06</t>
        </is>
      </c>
      <c r="G592" t="inlineStr">
        <is>
          <t>LinkedIn job tracker status: Applied 5mo ago; location: Moraine, OH (On-site)</t>
        </is>
      </c>
    </row>
    <row r="593">
      <c r="A593" t="inlineStr">
        <is>
          <t>Connecticut Innovations</t>
        </is>
      </c>
      <c r="B593" t="inlineStr">
        <is>
          <t>Cyber Security Consultant</t>
        </is>
      </c>
      <c r="C593" t="inlineStr">
        <is>
          <t>Applied (auto-submission via Simplify)</t>
        </is>
      </c>
      <c r="D593" t="inlineStr">
        <is>
          <t>LinkedIn (Simplify auto-apply, reconciled 2026-09-06)</t>
        </is>
      </c>
      <c r="E593" t="inlineStr">
        <is>
          <t>2026-09-06</t>
        </is>
      </c>
      <c r="F593" t="inlineStr">
        <is>
          <t>2026-09-06</t>
        </is>
      </c>
      <c r="G593" t="inlineStr">
        <is>
          <t>LinkedIn job tracker status: Applied 5mo ago; location: Connecticut, United States (Remote)</t>
        </is>
      </c>
    </row>
    <row r="594">
      <c r="A594" t="inlineStr">
        <is>
          <t>Selby Jennings</t>
        </is>
      </c>
      <c r="B594" t="inlineStr">
        <is>
          <t>Information Security Officer</t>
        </is>
      </c>
      <c r="C594" t="inlineStr">
        <is>
          <t>Applied (auto-submission via Simplify)</t>
        </is>
      </c>
      <c r="D594" t="inlineStr">
        <is>
          <t>LinkedIn (Simplify auto-apply, reconciled 2026-09-06)</t>
        </is>
      </c>
      <c r="E594" t="inlineStr">
        <is>
          <t>2026-09-06</t>
        </is>
      </c>
      <c r="F594" t="inlineStr">
        <is>
          <t>2026-09-06</t>
        </is>
      </c>
      <c r="G594" t="inlineStr">
        <is>
          <t>LinkedIn job tracker status: Applied 5mo ago; location: Dallas, TX (On-site)</t>
        </is>
      </c>
    </row>
    <row r="595">
      <c r="A595" t="inlineStr">
        <is>
          <t>Novia Infotech</t>
        </is>
      </c>
      <c r="B595" t="inlineStr">
        <is>
          <t>Cyber Security Analyst</t>
        </is>
      </c>
      <c r="C595" t="inlineStr">
        <is>
          <t>Applied (auto-submission via Simplify)</t>
        </is>
      </c>
      <c r="D595" t="inlineStr">
        <is>
          <t>LinkedIn (Simplify auto-apply, reconciled 2026-09-06)</t>
        </is>
      </c>
      <c r="E595" t="inlineStr">
        <is>
          <t>2026-09-06</t>
        </is>
      </c>
      <c r="F595" t="inlineStr">
        <is>
          <t>2026-09-06</t>
        </is>
      </c>
      <c r="G595" t="inlineStr">
        <is>
          <t>LinkedIn job tracker status: Applied 5mo ago; location: Georgia, United States (On-site)</t>
        </is>
      </c>
    </row>
    <row r="596">
      <c r="A596" t="inlineStr">
        <is>
          <t>CBTS</t>
        </is>
      </c>
      <c r="B596" t="inlineStr">
        <is>
          <t>SOC Team Lead - CTH - W2 Only, NO Third Party</t>
        </is>
      </c>
      <c r="C596" t="inlineStr">
        <is>
          <t>Applied (auto-submission via Simplify)</t>
        </is>
      </c>
      <c r="D596" t="inlineStr">
        <is>
          <t>LinkedIn (Simplify auto-apply, reconciled 2026-09-06)</t>
        </is>
      </c>
      <c r="E596" t="inlineStr">
        <is>
          <t>2026-09-06</t>
        </is>
      </c>
      <c r="F596" t="inlineStr">
        <is>
          <t>2026-09-06</t>
        </is>
      </c>
      <c r="G596" t="inlineStr">
        <is>
          <t>LinkedIn job tracker status: Applied 5mo ago; location: Chicago, IL (On-site)</t>
        </is>
      </c>
    </row>
    <row r="597">
      <c r="A597" t="inlineStr">
        <is>
          <t>Terp Techs</t>
        </is>
      </c>
      <c r="B597" t="inlineStr">
        <is>
          <t>Artificial Intelligence (AI) Risk Review Analyst</t>
        </is>
      </c>
      <c r="C597" t="inlineStr">
        <is>
          <t>Applied (auto-submission via Simplify)</t>
        </is>
      </c>
      <c r="D597" t="inlineStr">
        <is>
          <t>LinkedIn (Simplify auto-apply, reconciled 2026-09-06)</t>
        </is>
      </c>
      <c r="E597" t="inlineStr">
        <is>
          <t>2026-09-06</t>
        </is>
      </c>
      <c r="F597" t="inlineStr">
        <is>
          <t>2026-09-06</t>
        </is>
      </c>
      <c r="G597" t="inlineStr">
        <is>
          <t>LinkedIn job tracker status: Applied 5mo ago; location: Washington DC-Baltimore Area (Hybrid)</t>
        </is>
      </c>
    </row>
    <row r="598">
      <c r="A598" t="inlineStr">
        <is>
          <t>Eliassen Group</t>
        </is>
      </c>
      <c r="B598" t="inlineStr">
        <is>
          <t>Cryptography Engineer</t>
        </is>
      </c>
      <c r="C598" t="inlineStr">
        <is>
          <t>Applied (auto-submission via Simplify)</t>
        </is>
      </c>
      <c r="D598" t="inlineStr">
        <is>
          <t>LinkedIn (Simplify auto-apply, reconciled 2026-09-06)</t>
        </is>
      </c>
      <c r="E598" t="inlineStr">
        <is>
          <t>2026-09-06</t>
        </is>
      </c>
      <c r="F598" t="inlineStr">
        <is>
          <t>2026-09-06</t>
        </is>
      </c>
      <c r="G598" t="inlineStr">
        <is>
          <t>LinkedIn job tracker status: Applied 5mo ago; location: Lake Mary, FL (On-site)</t>
        </is>
      </c>
    </row>
    <row r="599">
      <c r="A599" t="inlineStr">
        <is>
          <t>Insight Global</t>
        </is>
      </c>
      <c r="B599" t="inlineStr">
        <is>
          <t>Forensic Analyst</t>
        </is>
      </c>
      <c r="C599" t="inlineStr">
        <is>
          <t>Applied (auto-submission via Simplify)</t>
        </is>
      </c>
      <c r="D599" t="inlineStr">
        <is>
          <t>LinkedIn (Simplify auto-apply, reconciled 2026-09-06)</t>
        </is>
      </c>
      <c r="E599" t="inlineStr">
        <is>
          <t>2026-09-06</t>
        </is>
      </c>
      <c r="F599" t="inlineStr">
        <is>
          <t>2026-09-06</t>
        </is>
      </c>
      <c r="G599" t="inlineStr">
        <is>
          <t>LinkedIn job tracker status: Applied 5mo ago; location: United States (Remote)</t>
        </is>
      </c>
    </row>
    <row r="600">
      <c r="A600" t="inlineStr">
        <is>
          <t>Tekgence Inc</t>
        </is>
      </c>
      <c r="B600" t="inlineStr">
        <is>
          <t>Cyber Security Consultant</t>
        </is>
      </c>
      <c r="C600" t="inlineStr">
        <is>
          <t>Applied (auto-submission via Simplify)</t>
        </is>
      </c>
      <c r="D600" t="inlineStr">
        <is>
          <t>LinkedIn (Simplify auto-apply, reconciled 2026-09-06)</t>
        </is>
      </c>
      <c r="E600" t="inlineStr">
        <is>
          <t>2026-09-06</t>
        </is>
      </c>
      <c r="F600" t="inlineStr">
        <is>
          <t>2026-09-06</t>
        </is>
      </c>
      <c r="G600" t="inlineStr">
        <is>
          <t>LinkedIn job tracker status: Applied 5mo ago; location: Pittsburgh, PA (On-site)</t>
        </is>
      </c>
    </row>
    <row r="601">
      <c r="A601" t="inlineStr">
        <is>
          <t>Remote</t>
        </is>
      </c>
      <c r="B601" t="inlineStr">
        <is>
          <t>Cybersecurity Consultant</t>
        </is>
      </c>
      <c r="C601" t="inlineStr">
        <is>
          <t>Applied (auto-submission via Simplify)</t>
        </is>
      </c>
      <c r="D601" t="inlineStr">
        <is>
          <t>LinkedIn (Simplify auto-apply, reconciled 2026-09-06)</t>
        </is>
      </c>
      <c r="E601" t="inlineStr">
        <is>
          <t>2026-09-06</t>
        </is>
      </c>
      <c r="F601" t="inlineStr">
        <is>
          <t>2026-09-06</t>
        </is>
      </c>
      <c r="G601" t="inlineStr">
        <is>
          <t>LinkedIn job tracker status: Columbus, OH (On-site); location: TalentBurst, an Inc 5000 company</t>
        </is>
      </c>
    </row>
    <row r="602">
      <c r="A602" t="inlineStr">
        <is>
          <t>Healthcare IT Leaders</t>
        </is>
      </c>
      <c r="B602" t="inlineStr">
        <is>
          <t>Security Risk Analyst</t>
        </is>
      </c>
      <c r="C602" t="inlineStr">
        <is>
          <t>Applied (auto-submission via Simplify)</t>
        </is>
      </c>
      <c r="D602" t="inlineStr">
        <is>
          <t>LinkedIn (Simplify auto-apply, reconciled 2026-09-06)</t>
        </is>
      </c>
      <c r="E602" t="inlineStr">
        <is>
          <t>2026-09-06</t>
        </is>
      </c>
      <c r="F602" t="inlineStr">
        <is>
          <t>2026-09-06</t>
        </is>
      </c>
      <c r="G602" t="inlineStr">
        <is>
          <t>LinkedIn job tracker status: Applied 5mo ago; location: United States (Remote)</t>
        </is>
      </c>
    </row>
    <row r="603">
      <c r="A603" t="inlineStr">
        <is>
          <t>Solomon Page Group LLC</t>
        </is>
      </c>
      <c r="B603" t="inlineStr">
        <is>
          <t>IAM Security Engineer - Identity Governance &amp; Administration</t>
        </is>
      </c>
      <c r="C603" t="inlineStr">
        <is>
          <t>Applied (auto-submission via Simplify)</t>
        </is>
      </c>
      <c r="D603" t="inlineStr">
        <is>
          <t>LinkedIn (Simplify auto-apply, reconciled 2026-09-06)</t>
        </is>
      </c>
      <c r="E603" t="inlineStr">
        <is>
          <t>2026-09-06</t>
        </is>
      </c>
      <c r="F603" t="inlineStr">
        <is>
          <t>2026-09-06</t>
        </is>
      </c>
      <c r="G603" t="inlineStr">
        <is>
          <t>LinkedIn job tracker status: Applied 5mo ago; location: Indianapolis, IN (On-site)</t>
        </is>
      </c>
    </row>
    <row r="604">
      <c r="A604" t="inlineStr">
        <is>
          <t>Berean Group International, Inc.</t>
        </is>
      </c>
      <c r="B604" t="inlineStr">
        <is>
          <t>Security Analyst</t>
        </is>
      </c>
      <c r="C604" t="inlineStr">
        <is>
          <t>Applied (auto-submission via Simplify)</t>
        </is>
      </c>
      <c r="D604" t="inlineStr">
        <is>
          <t>LinkedIn (Simplify auto-apply, reconciled 2026-09-06)</t>
        </is>
      </c>
      <c r="E604" t="inlineStr">
        <is>
          <t>2026-09-06</t>
        </is>
      </c>
      <c r="F604" t="inlineStr">
        <is>
          <t>2026-09-06</t>
        </is>
      </c>
      <c r="G604" t="inlineStr">
        <is>
          <t>LinkedIn job tracker status: Applied 5mo ago; location: Dallas, TX (On-site)</t>
        </is>
      </c>
    </row>
    <row r="605">
      <c r="A605" t="inlineStr">
        <is>
          <t>LogoLife</t>
        </is>
      </c>
      <c r="B605" t="inlineStr">
        <is>
          <t>Cybersecurity Mentor</t>
        </is>
      </c>
      <c r="C605" t="inlineStr">
        <is>
          <t>Applied (auto-submission via Simplify)</t>
        </is>
      </c>
      <c r="D605" t="inlineStr">
        <is>
          <t>LinkedIn (Simplify auto-apply, reconciled 2026-09-06)</t>
        </is>
      </c>
      <c r="E605" t="inlineStr">
        <is>
          <t>2026-09-06</t>
        </is>
      </c>
      <c r="F605" t="inlineStr">
        <is>
          <t>2026-09-06</t>
        </is>
      </c>
      <c r="G605" t="inlineStr">
        <is>
          <t>LinkedIn job tracker status: Applied 5mo ago; location: United States (Remote)</t>
        </is>
      </c>
    </row>
    <row r="606">
      <c r="A606" t="inlineStr">
        <is>
          <t>Round-Peg Solutions (RPS)</t>
        </is>
      </c>
      <c r="B606" t="inlineStr">
        <is>
          <t>Cyber Security Specialist</t>
        </is>
      </c>
      <c r="C606" t="inlineStr">
        <is>
          <t>Applied (auto-submission via Simplify)</t>
        </is>
      </c>
      <c r="D606" t="inlineStr">
        <is>
          <t>LinkedIn (Simplify auto-apply, reconciled 2026-09-06)</t>
        </is>
      </c>
      <c r="E606" t="inlineStr">
        <is>
          <t>2026-09-06</t>
        </is>
      </c>
      <c r="F606" t="inlineStr">
        <is>
          <t>2026-09-06</t>
        </is>
      </c>
      <c r="G606" t="inlineStr">
        <is>
          <t>LinkedIn job tracker status: Applied 5mo ago; location: Churubusco, IN (On-site)</t>
        </is>
      </c>
    </row>
    <row r="607">
      <c r="A607" t="inlineStr">
        <is>
          <t>Yoh, A Day &amp; Zimmermann Company</t>
        </is>
      </c>
      <c r="B607" t="inlineStr">
        <is>
          <t>IAM/GRC Analyst</t>
        </is>
      </c>
      <c r="C607" t="inlineStr">
        <is>
          <t>Applied (auto-submission via Simplify)</t>
        </is>
      </c>
      <c r="D607" t="inlineStr">
        <is>
          <t>LinkedIn (Simplify auto-apply, reconciled 2026-09-06)</t>
        </is>
      </c>
      <c r="E607" t="inlineStr">
        <is>
          <t>2026-09-06</t>
        </is>
      </c>
      <c r="F607" t="inlineStr">
        <is>
          <t>2026-09-06</t>
        </is>
      </c>
      <c r="G607" t="inlineStr">
        <is>
          <t>LinkedIn job tracker status: Applied 5mo ago; location: McKinney, TX (Hybrid)</t>
        </is>
      </c>
    </row>
    <row r="608">
      <c r="A608" t="inlineStr">
        <is>
          <t>CloudSEK</t>
        </is>
      </c>
      <c r="B608" t="inlineStr">
        <is>
          <t>Security Consultant - USA</t>
        </is>
      </c>
      <c r="C608" t="inlineStr">
        <is>
          <t>Applied (auto-submission via Simplify)</t>
        </is>
      </c>
      <c r="D608" t="inlineStr">
        <is>
          <t>LinkedIn (Simplify auto-apply, reconciled 2026-09-06)</t>
        </is>
      </c>
      <c r="E608" t="inlineStr">
        <is>
          <t>2026-09-06</t>
        </is>
      </c>
      <c r="F608" t="inlineStr">
        <is>
          <t>2026-09-06</t>
        </is>
      </c>
      <c r="G608" t="inlineStr">
        <is>
          <t>LinkedIn job tracker status: Applied 5mo ago; location: New Jersey, United States (On-site)</t>
        </is>
      </c>
    </row>
    <row r="609">
      <c r="A609" t="inlineStr">
        <is>
          <t>ERS Elite</t>
        </is>
      </c>
      <c r="B609" t="inlineStr">
        <is>
          <t>Cyber Security Specialist</t>
        </is>
      </c>
      <c r="C609" t="inlineStr">
        <is>
          <t>Applied (auto-submission via Simplify)</t>
        </is>
      </c>
      <c r="D609" t="inlineStr">
        <is>
          <t>LinkedIn (Simplify auto-apply, reconciled 2026-09-06)</t>
        </is>
      </c>
      <c r="E609" t="inlineStr">
        <is>
          <t>2026-09-06</t>
        </is>
      </c>
      <c r="F609" t="inlineStr">
        <is>
          <t>2026-09-06</t>
        </is>
      </c>
      <c r="G609" t="inlineStr">
        <is>
          <t>LinkedIn job tracker status: Applied 5mo ago; location: West Point, GA (On-site)</t>
        </is>
      </c>
    </row>
    <row r="610">
      <c r="A610" t="inlineStr">
        <is>
          <t>BioCatch</t>
        </is>
      </c>
      <c r="B610" t="inlineStr">
        <is>
          <t>Associate Threat Analyst</t>
        </is>
      </c>
      <c r="C610" t="inlineStr">
        <is>
          <t>Applied (auto-submission via Simplify)</t>
        </is>
      </c>
      <c r="D610" t="inlineStr">
        <is>
          <t>LinkedIn (Simplify auto-apply, reconciled 2026-09-06)</t>
        </is>
      </c>
      <c r="E610" t="inlineStr">
        <is>
          <t>2026-09-06</t>
        </is>
      </c>
      <c r="F610" t="inlineStr">
        <is>
          <t>2026-09-06</t>
        </is>
      </c>
      <c r="G610" t="inlineStr">
        <is>
          <t>LinkedIn job tracker status: Applied 5mo ago; location: United States (Remote)</t>
        </is>
      </c>
    </row>
    <row r="611">
      <c r="A611" t="inlineStr">
        <is>
          <t>CyberCoders</t>
        </is>
      </c>
      <c r="B611" t="inlineStr">
        <is>
          <t>IT Security Compliance Specialist</t>
        </is>
      </c>
      <c r="C611" t="inlineStr">
        <is>
          <t>Applied (auto-submission via Simplify)</t>
        </is>
      </c>
      <c r="D611" t="inlineStr">
        <is>
          <t>LinkedIn (Simplify auto-apply, reconciled 2026-09-06)</t>
        </is>
      </c>
      <c r="E611" t="inlineStr">
        <is>
          <t>2026-09-06</t>
        </is>
      </c>
      <c r="F611" t="inlineStr">
        <is>
          <t>2026-09-06</t>
        </is>
      </c>
      <c r="G611" t="inlineStr">
        <is>
          <t>LinkedIn job tracker status: Applied 5mo ago; location: Sunset Valley, TX (On-site)</t>
        </is>
      </c>
    </row>
    <row r="612">
      <c r="A612" t="inlineStr">
        <is>
          <t>Primary Talent Partners</t>
        </is>
      </c>
      <c r="B612" t="inlineStr">
        <is>
          <t>Cybersecurity Analyst I</t>
        </is>
      </c>
      <c r="C612" t="inlineStr">
        <is>
          <t>Applied (auto-submission via Simplify)</t>
        </is>
      </c>
      <c r="D612" t="inlineStr">
        <is>
          <t>LinkedIn (Simplify auto-apply, reconciled 2026-09-06)</t>
        </is>
      </c>
      <c r="E612" t="inlineStr">
        <is>
          <t>2026-09-06</t>
        </is>
      </c>
      <c r="F612" t="inlineStr">
        <is>
          <t>2026-09-06</t>
        </is>
      </c>
      <c r="G612" t="inlineStr">
        <is>
          <t>LinkedIn job tracker status: Applied 5mo ago; location: Charlotte, NC (On-site)</t>
        </is>
      </c>
    </row>
    <row r="613">
      <c r="A613" t="inlineStr">
        <is>
          <t>Optomi</t>
        </is>
      </c>
      <c r="B613" t="inlineStr">
        <is>
          <t>AI Risk &amp; Compliance Analyst</t>
        </is>
      </c>
      <c r="C613" t="inlineStr">
        <is>
          <t>Applied (auto-submission via Simplify)</t>
        </is>
      </c>
      <c r="D613" t="inlineStr">
        <is>
          <t>LinkedIn (Simplify auto-apply, reconciled 2026-09-06)</t>
        </is>
      </c>
      <c r="E613" t="inlineStr">
        <is>
          <t>2026-09-06</t>
        </is>
      </c>
      <c r="F613" t="inlineStr">
        <is>
          <t>2026-09-06</t>
        </is>
      </c>
      <c r="G613" t="inlineStr">
        <is>
          <t>LinkedIn job tracker status: Applied 5mo ago; location: Boston, MA (Remote)</t>
        </is>
      </c>
    </row>
    <row r="614">
      <c r="A614" t="inlineStr">
        <is>
          <t>Atos</t>
        </is>
      </c>
      <c r="B614" t="inlineStr">
        <is>
          <t>Security Operations Center Analyst</t>
        </is>
      </c>
      <c r="C614" t="inlineStr">
        <is>
          <t>Applied (auto-submission via Simplify)</t>
        </is>
      </c>
      <c r="D614" t="inlineStr">
        <is>
          <t>LinkedIn (Simplify auto-apply, reconciled 2026-09-06)</t>
        </is>
      </c>
      <c r="E614" t="inlineStr">
        <is>
          <t>2026-09-06</t>
        </is>
      </c>
      <c r="F614" t="inlineStr">
        <is>
          <t>2026-09-06</t>
        </is>
      </c>
      <c r="G614" t="inlineStr">
        <is>
          <t>LinkedIn job tracker status: Applied 5mo ago; location: Chicago, IL (Remote)</t>
        </is>
      </c>
    </row>
    <row r="615">
      <c r="A615" t="inlineStr">
        <is>
          <t>Kforce Inc</t>
        </is>
      </c>
      <c r="B615" t="inlineStr">
        <is>
          <t>SOC Engineer - Threat Detection &amp; Response</t>
        </is>
      </c>
      <c r="C615" t="inlineStr">
        <is>
          <t>Applied (auto-submission via Simplify)</t>
        </is>
      </c>
      <c r="D615" t="inlineStr">
        <is>
          <t>LinkedIn (Simplify auto-apply, reconciled 2026-09-06)</t>
        </is>
      </c>
      <c r="E615" t="inlineStr">
        <is>
          <t>2026-09-06</t>
        </is>
      </c>
      <c r="F615" t="inlineStr">
        <is>
          <t>2026-09-06</t>
        </is>
      </c>
      <c r="G615" t="inlineStr">
        <is>
          <t>LinkedIn job tracker status: Applied 6mo ago; location: Boston, MA (On-site)</t>
        </is>
      </c>
    </row>
    <row r="616">
      <c r="A616" t="inlineStr">
        <is>
          <t>Vaco by Highspring</t>
        </is>
      </c>
      <c r="B616" t="inlineStr">
        <is>
          <t>IT Internal Auditor</t>
        </is>
      </c>
      <c r="C616" t="inlineStr">
        <is>
          <t>Applied (auto-submission via Simplify)</t>
        </is>
      </c>
      <c r="D616" t="inlineStr">
        <is>
          <t>LinkedIn (Simplify auto-apply, reconciled 2026-09-06)</t>
        </is>
      </c>
      <c r="E616" t="inlineStr">
        <is>
          <t>2026-09-06</t>
        </is>
      </c>
      <c r="F616" t="inlineStr">
        <is>
          <t>2026-09-06</t>
        </is>
      </c>
      <c r="G616" t="inlineStr">
        <is>
          <t>LinkedIn job tracker status: Applied 6mo ago; location: Birmingham, AL (On-site)</t>
        </is>
      </c>
    </row>
    <row r="617">
      <c r="A617" t="inlineStr">
        <is>
          <t>Dexian</t>
        </is>
      </c>
      <c r="B617" t="inlineStr">
        <is>
          <t>Technology Risk Specialist</t>
        </is>
      </c>
      <c r="C617" t="inlineStr">
        <is>
          <t>Applied (auto-submission via Simplify)</t>
        </is>
      </c>
      <c r="D617" t="inlineStr">
        <is>
          <t>LinkedIn (Simplify auto-apply, reconciled 2026-09-06)</t>
        </is>
      </c>
      <c r="E617" t="inlineStr">
        <is>
          <t>2026-09-06</t>
        </is>
      </c>
      <c r="F617" t="inlineStr">
        <is>
          <t>2026-09-06</t>
        </is>
      </c>
      <c r="G617" t="inlineStr">
        <is>
          <t>LinkedIn job tracker status: Applied 6mo ago; location: Richmond, VA (Hybrid)</t>
        </is>
      </c>
    </row>
    <row r="618">
      <c r="A618" t="inlineStr">
        <is>
          <t>Glocomms</t>
        </is>
      </c>
      <c r="B618" t="inlineStr">
        <is>
          <t>Cybersecurity GRC Program Manager</t>
        </is>
      </c>
      <c r="C618" t="inlineStr">
        <is>
          <t>Applied (auto-submission via Simplify)</t>
        </is>
      </c>
      <c r="D618" t="inlineStr">
        <is>
          <t>LinkedIn (Simplify auto-apply, reconciled 2026-09-06)</t>
        </is>
      </c>
      <c r="E618" t="inlineStr">
        <is>
          <t>2026-09-06</t>
        </is>
      </c>
      <c r="F618" t="inlineStr">
        <is>
          <t>2026-09-06</t>
        </is>
      </c>
      <c r="G618" t="inlineStr">
        <is>
          <t>LinkedIn job tracker status: Applied 6mo ago; location: Danbury, OH (Hybrid)</t>
        </is>
      </c>
    </row>
    <row r="619">
      <c r="A619" t="inlineStr">
        <is>
          <t>Ariento</t>
        </is>
      </c>
      <c r="B619" t="inlineStr">
        <is>
          <t>Security Operations Center (SOC) Manager/Team Lead</t>
        </is>
      </c>
      <c r="C619" t="inlineStr">
        <is>
          <t>Applied (auto-submission via Simplify)</t>
        </is>
      </c>
      <c r="D619" t="inlineStr">
        <is>
          <t>LinkedIn (Simplify auto-apply, reconciled 2026-09-06)</t>
        </is>
      </c>
      <c r="E619" t="inlineStr">
        <is>
          <t>2026-09-06</t>
        </is>
      </c>
      <c r="F619" t="inlineStr">
        <is>
          <t>2026-09-06</t>
        </is>
      </c>
      <c r="G619" t="inlineStr">
        <is>
          <t>LinkedIn job tracker status: Applied 6mo ago; location: Franklin, TN (On-site)</t>
        </is>
      </c>
    </row>
    <row r="620">
      <c r="A620" t="inlineStr">
        <is>
          <t>SparkHouse LLC</t>
        </is>
      </c>
      <c r="B620" t="inlineStr">
        <is>
          <t>Information Security Manager</t>
        </is>
      </c>
      <c r="C620" t="inlineStr">
        <is>
          <t>Applied (auto-submission via Simplify)</t>
        </is>
      </c>
      <c r="D620" t="inlineStr">
        <is>
          <t>LinkedIn (Simplify auto-apply, reconciled 2026-09-06)</t>
        </is>
      </c>
      <c r="E620" t="inlineStr">
        <is>
          <t>2026-09-06</t>
        </is>
      </c>
      <c r="F620" t="inlineStr">
        <is>
          <t>2026-09-06</t>
        </is>
      </c>
      <c r="G620" t="inlineStr">
        <is>
          <t>LinkedIn job tracker status: Applied 6mo ago; location: Denver Metropolitan Area (Hybrid)</t>
        </is>
      </c>
    </row>
    <row r="621">
      <c r="A621" t="inlineStr">
        <is>
          <t>AP Professionals</t>
        </is>
      </c>
      <c r="B621" t="inlineStr">
        <is>
          <t>Security Operation Center (SOC) Manager</t>
        </is>
      </c>
      <c r="C621" t="inlineStr">
        <is>
          <t>Applied (auto-submission via Simplify)</t>
        </is>
      </c>
      <c r="D621" t="inlineStr">
        <is>
          <t>LinkedIn (Simplify auto-apply, reconciled 2026-09-06)</t>
        </is>
      </c>
      <c r="E621" t="inlineStr">
        <is>
          <t>2026-09-06</t>
        </is>
      </c>
      <c r="F621" t="inlineStr">
        <is>
          <t>2026-09-06</t>
        </is>
      </c>
      <c r="G621" t="inlineStr">
        <is>
          <t>LinkedIn job tracker status: Applied 6mo ago; location: Phoenix, AZ (On-site)</t>
        </is>
      </c>
    </row>
    <row r="622">
      <c r="A622" t="inlineStr">
        <is>
          <t>GlobalCISO Leadership Foundation</t>
        </is>
      </c>
      <c r="B622" t="inlineStr">
        <is>
          <t>CISO Advisor</t>
        </is>
      </c>
      <c r="C622" t="inlineStr">
        <is>
          <t>Applied (auto-submission via Simplify)</t>
        </is>
      </c>
      <c r="D622" t="inlineStr">
        <is>
          <t>LinkedIn (Simplify auto-apply, reconciled 2026-09-06)</t>
        </is>
      </c>
      <c r="E622" t="inlineStr">
        <is>
          <t>2026-09-06</t>
        </is>
      </c>
      <c r="F622" t="inlineStr">
        <is>
          <t>2026-09-06</t>
        </is>
      </c>
      <c r="G622" t="inlineStr">
        <is>
          <t>LinkedIn job tracker status: Applied 6mo ago; location: United States (Remote)</t>
        </is>
      </c>
    </row>
    <row r="623">
      <c r="A623" t="inlineStr">
        <is>
          <t>KLA Tencor</t>
        </is>
      </c>
      <c r="B623" t="inlineStr">
        <is>
          <t>Insider Risk Analyst</t>
        </is>
      </c>
      <c r="C623" t="inlineStr">
        <is>
          <t>Applied (auto-submission via Simplify)</t>
        </is>
      </c>
      <c r="D623" t="inlineStr">
        <is>
          <t>LinkedIn (Simplify auto-apply, reconciled 2026-09-06)</t>
        </is>
      </c>
      <c r="E623" t="inlineStr">
        <is>
          <t>2026-09-06</t>
        </is>
      </c>
      <c r="F623" t="inlineStr">
        <is>
          <t>2026-09-06</t>
        </is>
      </c>
      <c r="G623" t="inlineStr">
        <is>
          <t>LinkedIn job tracker status: Applied 6mo ago; location: Ann Arbor, MI</t>
        </is>
      </c>
    </row>
    <row r="624">
      <c r="A624" t="inlineStr">
        <is>
          <t>errorHandle</t>
        </is>
      </c>
      <c r="B624" t="inlineStr">
        <is>
          <t>Senior IT Technical Instructor (Cloud, Security, Networking &amp; Business Applications)</t>
        </is>
      </c>
      <c r="C624" t="inlineStr">
        <is>
          <t>Applied (auto-submission via Simplify)</t>
        </is>
      </c>
      <c r="D624" t="inlineStr">
        <is>
          <t>LinkedIn (Simplify auto-apply, reconciled 2026-09-06)</t>
        </is>
      </c>
      <c r="E624" t="inlineStr">
        <is>
          <t>2026-09-06</t>
        </is>
      </c>
      <c r="F624" t="inlineStr">
        <is>
          <t>2026-09-06</t>
        </is>
      </c>
      <c r="G624" t="inlineStr">
        <is>
          <t>LinkedIn job tracker status: Applied 6mo ago; location: Mineola, NY (Hybrid)</t>
        </is>
      </c>
    </row>
    <row r="625">
      <c r="A625" t="inlineStr">
        <is>
          <t>LanceSoft, Inc.</t>
        </is>
      </c>
      <c r="B625" t="inlineStr">
        <is>
          <t>Cyber Security Analyst</t>
        </is>
      </c>
      <c r="C625" t="inlineStr">
        <is>
          <t>Applied (auto-submission via Simplify)</t>
        </is>
      </c>
      <c r="D625" t="inlineStr">
        <is>
          <t>LinkedIn (Simplify auto-apply, reconciled 2026-09-06)</t>
        </is>
      </c>
      <c r="E625" t="inlineStr">
        <is>
          <t>2026-09-06</t>
        </is>
      </c>
      <c r="F625" t="inlineStr">
        <is>
          <t>2026-09-06</t>
        </is>
      </c>
      <c r="G625" t="inlineStr">
        <is>
          <t>LinkedIn job tracker status: Applied 6mo ago; location: Granite City, IL (On-site)</t>
        </is>
      </c>
    </row>
    <row r="626">
      <c r="A626" t="inlineStr">
        <is>
          <t>Specialized Security Services, Inc.</t>
        </is>
      </c>
      <c r="B626" t="inlineStr">
        <is>
          <t>Senior Security Assessor</t>
        </is>
      </c>
      <c r="C626" t="inlineStr">
        <is>
          <t>Applied (auto-submission via Simplify)</t>
        </is>
      </c>
      <c r="D626" t="inlineStr">
        <is>
          <t>LinkedIn (Simplify auto-apply, reconciled 2026-09-06)</t>
        </is>
      </c>
      <c r="E626" t="inlineStr">
        <is>
          <t>2026-09-06</t>
        </is>
      </c>
      <c r="F626" t="inlineStr">
        <is>
          <t>2026-09-06</t>
        </is>
      </c>
      <c r="G626" t="inlineStr">
        <is>
          <t>LinkedIn job tracker status: Applied 6mo ago; location: Texas, United States (Remote)</t>
        </is>
      </c>
    </row>
    <row r="627">
      <c r="A627" t="inlineStr">
        <is>
          <t>TalentOla</t>
        </is>
      </c>
      <c r="B627" t="inlineStr">
        <is>
          <t>Cyber Security Engineer</t>
        </is>
      </c>
      <c r="C627" t="inlineStr">
        <is>
          <t>Applied (auto-submission via Simplify)</t>
        </is>
      </c>
      <c r="D627" t="inlineStr">
        <is>
          <t>LinkedIn (Simplify auto-apply, reconciled 2026-09-06)</t>
        </is>
      </c>
      <c r="E627" t="inlineStr">
        <is>
          <t>2026-09-06</t>
        </is>
      </c>
      <c r="F627" t="inlineStr">
        <is>
          <t>2026-09-06</t>
        </is>
      </c>
      <c r="G627" t="inlineStr">
        <is>
          <t>LinkedIn job tracker status: Applied 6mo ago; location: Memphis, TN (On-site)</t>
        </is>
      </c>
    </row>
    <row r="628">
      <c r="A628" t="inlineStr">
        <is>
          <t>HCLTech</t>
        </is>
      </c>
      <c r="B628" t="inlineStr">
        <is>
          <t>Data Security Manager</t>
        </is>
      </c>
      <c r="C628" t="inlineStr">
        <is>
          <t>Applied (auto-submission via Simplify)</t>
        </is>
      </c>
      <c r="D628" t="inlineStr">
        <is>
          <t>LinkedIn (Simplify auto-apply, reconciled 2026-09-06)</t>
        </is>
      </c>
      <c r="E628" t="inlineStr">
        <is>
          <t>2026-09-06</t>
        </is>
      </c>
      <c r="F628" t="inlineStr">
        <is>
          <t>2026-09-06</t>
        </is>
      </c>
      <c r="G628" t="inlineStr">
        <is>
          <t>LinkedIn job tracker status: Applied 6mo ago; location: Raritan, NJ (Hybrid)</t>
        </is>
      </c>
    </row>
    <row r="629">
      <c r="A629" t="inlineStr">
        <is>
          <t>Citadel Threat Intelligence Group, PLLC</t>
        </is>
      </c>
      <c r="B629" t="inlineStr">
        <is>
          <t>Security Analyst</t>
        </is>
      </c>
      <c r="C629" t="inlineStr">
        <is>
          <t>Applied (auto-submission via Simplify)</t>
        </is>
      </c>
      <c r="D629" t="inlineStr">
        <is>
          <t>LinkedIn (Simplify auto-apply, reconciled 2026-09-06)</t>
        </is>
      </c>
      <c r="E629" t="inlineStr">
        <is>
          <t>2026-09-06</t>
        </is>
      </c>
      <c r="F629" t="inlineStr">
        <is>
          <t>2026-09-06</t>
        </is>
      </c>
      <c r="G629" t="inlineStr">
        <is>
          <t>LinkedIn job tracker status: Applied 6mo ago; location: United States (On-site)</t>
        </is>
      </c>
    </row>
    <row r="630">
      <c r="A630" t="inlineStr">
        <is>
          <t>CAE USA</t>
        </is>
      </c>
      <c r="B630" t="inlineStr">
        <is>
          <t>Cybersecurity Engineer</t>
        </is>
      </c>
      <c r="C630" t="inlineStr">
        <is>
          <t>Applied (auto-submission via Simplify)</t>
        </is>
      </c>
      <c r="D630" t="inlineStr">
        <is>
          <t>LinkedIn (Simplify auto-apply, reconciled 2026-09-06)</t>
        </is>
      </c>
      <c r="E630" t="inlineStr">
        <is>
          <t>2026-09-06</t>
        </is>
      </c>
      <c r="F630" t="inlineStr">
        <is>
          <t>2026-09-06</t>
        </is>
      </c>
      <c r="G630" t="inlineStr">
        <is>
          <t>LinkedIn job tracker status: Applied 6mo ago; location: Tampa, FL (On-site)</t>
        </is>
      </c>
    </row>
    <row r="631">
      <c r="A631" t="inlineStr">
        <is>
          <t>CarMax</t>
        </is>
      </c>
      <c r="B631" t="inlineStr">
        <is>
          <t>Sr. Analyst, Cybersecurity (Information Risk)</t>
        </is>
      </c>
      <c r="C631" t="inlineStr">
        <is>
          <t>Applied (auto-submission via Simplify)</t>
        </is>
      </c>
      <c r="D631" t="inlineStr">
        <is>
          <t>LinkedIn (Simplify auto-apply, reconciled 2026-09-06)</t>
        </is>
      </c>
      <c r="E631" t="inlineStr">
        <is>
          <t>2026-09-06</t>
        </is>
      </c>
      <c r="F631" t="inlineStr">
        <is>
          <t>2026-09-06</t>
        </is>
      </c>
      <c r="G631" t="inlineStr">
        <is>
          <t>LinkedIn job tracker status: Applied 6mo ago; location: Richmond, VA (On-site)</t>
        </is>
      </c>
    </row>
    <row r="632">
      <c r="A632" t="inlineStr">
        <is>
          <t>Theron Solutions</t>
        </is>
      </c>
      <c r="B632" t="inlineStr">
        <is>
          <t>Cybersecurity Segment Head</t>
        </is>
      </c>
      <c r="C632" t="inlineStr">
        <is>
          <t>Applied (auto-submission via Simplify)</t>
        </is>
      </c>
      <c r="D632" t="inlineStr">
        <is>
          <t>LinkedIn (Simplify auto-apply, reconciled 2026-09-06)</t>
        </is>
      </c>
      <c r="E632" t="inlineStr">
        <is>
          <t>2026-09-06</t>
        </is>
      </c>
      <c r="F632" t="inlineStr">
        <is>
          <t>2026-09-06</t>
        </is>
      </c>
      <c r="G632" t="inlineStr">
        <is>
          <t>LinkedIn job tracker status: Applied 6mo ago; location: Seattle, WA (Hybrid)</t>
        </is>
      </c>
    </row>
    <row r="633">
      <c r="A633" t="inlineStr">
        <is>
          <t>Private Company</t>
        </is>
      </c>
      <c r="B633" t="inlineStr">
        <is>
          <t>Chief Information Security Officer</t>
        </is>
      </c>
      <c r="C633" t="inlineStr">
        <is>
          <t>Applied (auto-submission via Simplify)</t>
        </is>
      </c>
      <c r="D633" t="inlineStr">
        <is>
          <t>LinkedIn (Simplify auto-apply, reconciled 2026-09-06)</t>
        </is>
      </c>
      <c r="E633" t="inlineStr">
        <is>
          <t>2026-09-06</t>
        </is>
      </c>
      <c r="F633" t="inlineStr">
        <is>
          <t>2026-09-06</t>
        </is>
      </c>
      <c r="G633" t="inlineStr">
        <is>
          <t>LinkedIn job tracker status: Applied 6mo ago; location: Arlington, VA (On-site)</t>
        </is>
      </c>
    </row>
    <row r="634">
      <c r="A634" t="inlineStr">
        <is>
          <t>Tekgence Inc</t>
        </is>
      </c>
      <c r="B634" t="inlineStr">
        <is>
          <t>Cybersecurity Risk Management Lead</t>
        </is>
      </c>
      <c r="C634" t="inlineStr">
        <is>
          <t>Applied (auto-submission via Simplify)</t>
        </is>
      </c>
      <c r="D634" t="inlineStr">
        <is>
          <t>LinkedIn (Simplify auto-apply, reconciled 2026-09-06)</t>
        </is>
      </c>
      <c r="E634" t="inlineStr">
        <is>
          <t>2026-09-06</t>
        </is>
      </c>
      <c r="F634" t="inlineStr">
        <is>
          <t>2026-09-06</t>
        </is>
      </c>
      <c r="G634" t="inlineStr">
        <is>
          <t>LinkedIn job tracker status: Applied 6mo ago; location: Dallas, TX (On-site)</t>
        </is>
      </c>
    </row>
    <row r="635">
      <c r="A635" t="inlineStr">
        <is>
          <t>Stellar Cyber</t>
        </is>
      </c>
      <c r="B635" t="inlineStr">
        <is>
          <t>Staff Security Engineer</t>
        </is>
      </c>
      <c r="C635" t="inlineStr">
        <is>
          <t>Applied (auto-submission via Simplify)</t>
        </is>
      </c>
      <c r="D635" t="inlineStr">
        <is>
          <t>LinkedIn (Simplify auto-apply, reconciled 2026-09-06)</t>
        </is>
      </c>
      <c r="E635" t="inlineStr">
        <is>
          <t>2026-09-06</t>
        </is>
      </c>
      <c r="F635" t="inlineStr">
        <is>
          <t>2026-09-06</t>
        </is>
      </c>
      <c r="G635" t="inlineStr">
        <is>
          <t>LinkedIn job tracker status: Applied 6mo ago; location: United States (Remote)</t>
        </is>
      </c>
    </row>
    <row r="636">
      <c r="A636" t="inlineStr">
        <is>
          <t>SkillUp Online</t>
        </is>
      </c>
      <c r="B636" t="inlineStr">
        <is>
          <t>Cybersecurity Program Design SME</t>
        </is>
      </c>
      <c r="C636" t="inlineStr">
        <is>
          <t>Applied (auto-submission via Simplify)</t>
        </is>
      </c>
      <c r="D636" t="inlineStr">
        <is>
          <t>LinkedIn (Simplify auto-apply, reconciled 2026-09-06)</t>
        </is>
      </c>
      <c r="E636" t="inlineStr">
        <is>
          <t>2026-09-06</t>
        </is>
      </c>
      <c r="F636" t="inlineStr">
        <is>
          <t>2026-09-06</t>
        </is>
      </c>
      <c r="G636" t="inlineStr">
        <is>
          <t>LinkedIn job tracker status: Applied 6mo ago; location: United States (Remote)</t>
        </is>
      </c>
    </row>
    <row r="637">
      <c r="A637" t="inlineStr">
        <is>
          <t>Sibitalent Corp</t>
        </is>
      </c>
      <c r="B637" t="inlineStr">
        <is>
          <t>Cyber Security Consultant</t>
        </is>
      </c>
      <c r="C637" t="inlineStr">
        <is>
          <t>Applied (auto-submission via Simplify)</t>
        </is>
      </c>
      <c r="D637" t="inlineStr">
        <is>
          <t>LinkedIn (Simplify auto-apply, reconciled 2026-09-06)</t>
        </is>
      </c>
      <c r="E637" t="inlineStr">
        <is>
          <t>2026-09-06</t>
        </is>
      </c>
      <c r="F637" t="inlineStr">
        <is>
          <t>2026-09-06</t>
        </is>
      </c>
      <c r="G637" t="inlineStr">
        <is>
          <t>LinkedIn job tracker status: Applied 6mo ago; location: Charlotte, NC (Hybrid)</t>
        </is>
      </c>
    </row>
    <row r="638">
      <c r="A638" t="inlineStr">
        <is>
          <t>Clarkston Consulting</t>
        </is>
      </c>
      <c r="B638" t="inlineStr">
        <is>
          <t>IT Manager</t>
        </is>
      </c>
      <c r="C638" t="inlineStr">
        <is>
          <t>Applied (auto-submission via Simplify)</t>
        </is>
      </c>
      <c r="D638" t="inlineStr">
        <is>
          <t>LinkedIn (Simplify auto-apply, reconciled 2026-09-06)</t>
        </is>
      </c>
      <c r="E638" t="inlineStr">
        <is>
          <t>2026-09-06</t>
        </is>
      </c>
      <c r="F638" t="inlineStr">
        <is>
          <t>2026-09-06</t>
        </is>
      </c>
      <c r="G638" t="inlineStr">
        <is>
          <t>LinkedIn job tracker status: Applied 6mo ago; location: Durham, NC (Hybrid)</t>
        </is>
      </c>
    </row>
    <row r="639">
      <c r="A639" t="inlineStr">
        <is>
          <t>Dexian</t>
        </is>
      </c>
      <c r="B639" t="inlineStr">
        <is>
          <t>Cyber Security Consultant</t>
        </is>
      </c>
      <c r="C639" t="inlineStr">
        <is>
          <t>Applied (auto-submission via Simplify)</t>
        </is>
      </c>
      <c r="D639" t="inlineStr">
        <is>
          <t>LinkedIn (Simplify auto-apply, reconciled 2026-09-06)</t>
        </is>
      </c>
      <c r="E639" t="inlineStr">
        <is>
          <t>2026-09-06</t>
        </is>
      </c>
      <c r="F639" t="inlineStr">
        <is>
          <t>2026-09-06</t>
        </is>
      </c>
      <c r="G639" t="inlineStr">
        <is>
          <t>LinkedIn job tracker status: Applied 6mo ago; location: Charlotte, NC (On-site)</t>
        </is>
      </c>
    </row>
    <row r="640">
      <c r="A640" t="inlineStr">
        <is>
          <t>Global Technical Talent</t>
        </is>
      </c>
      <c r="B640" t="inlineStr">
        <is>
          <t>Cyber Analyst</t>
        </is>
      </c>
      <c r="C640" t="inlineStr">
        <is>
          <t>Applied (auto-submission via Simplify)</t>
        </is>
      </c>
      <c r="D640" t="inlineStr">
        <is>
          <t>LinkedIn (Simplify auto-apply, reconciled 2026-09-06)</t>
        </is>
      </c>
      <c r="E640" t="inlineStr">
        <is>
          <t>2026-09-06</t>
        </is>
      </c>
      <c r="F640" t="inlineStr">
        <is>
          <t>2026-09-06</t>
        </is>
      </c>
      <c r="G640" t="inlineStr">
        <is>
          <t>LinkedIn job tracker status: Applied 6mo ago; location: Augusta, ME (On-site)</t>
        </is>
      </c>
    </row>
    <row r="641">
      <c r="A641" t="inlineStr">
        <is>
          <t>Tekgence Inc</t>
        </is>
      </c>
      <c r="B641" t="inlineStr">
        <is>
          <t>Forescout IT OT Security</t>
        </is>
      </c>
      <c r="C641" t="inlineStr">
        <is>
          <t>Applied (auto-submission via Simplify)</t>
        </is>
      </c>
      <c r="D641" t="inlineStr">
        <is>
          <t>LinkedIn (Simplify auto-apply, reconciled 2026-09-06)</t>
        </is>
      </c>
      <c r="E641" t="inlineStr">
        <is>
          <t>2026-09-06</t>
        </is>
      </c>
      <c r="F641" t="inlineStr">
        <is>
          <t>2026-09-06</t>
        </is>
      </c>
      <c r="G641" t="inlineStr">
        <is>
          <t>LinkedIn job tracker status: Applied 6mo ago; location: Atlanta, GA (On-site)</t>
        </is>
      </c>
    </row>
    <row r="642">
      <c r="A642" t="inlineStr">
        <is>
          <t>Quantam</t>
        </is>
      </c>
      <c r="B642" t="inlineStr">
        <is>
          <t>Information Technology Liaison</t>
        </is>
      </c>
      <c r="C642" t="inlineStr">
        <is>
          <t>Applied (auto-submission via Simplify)</t>
        </is>
      </c>
      <c r="D642" t="inlineStr">
        <is>
          <t>LinkedIn (Simplify auto-apply, reconciled 2026-09-06)</t>
        </is>
      </c>
      <c r="E642" t="inlineStr">
        <is>
          <t>2026-09-06</t>
        </is>
      </c>
      <c r="F642" t="inlineStr">
        <is>
          <t>2026-09-06</t>
        </is>
      </c>
      <c r="G642" t="inlineStr">
        <is>
          <t>LinkedIn job tracker status: Applied 6mo ago; location: Louisville, KY (On-site)</t>
        </is>
      </c>
    </row>
    <row r="643">
      <c r="A643" t="inlineStr">
        <is>
          <t>Insight Global</t>
        </is>
      </c>
      <c r="B643" t="inlineStr">
        <is>
          <t>Cybersecurity Risk Advisor</t>
        </is>
      </c>
      <c r="C643" t="inlineStr">
        <is>
          <t>Applied (auto-submission via Simplify)</t>
        </is>
      </c>
      <c r="D643" t="inlineStr">
        <is>
          <t>LinkedIn (Simplify auto-apply, reconciled 2026-09-06)</t>
        </is>
      </c>
      <c r="E643" t="inlineStr">
        <is>
          <t>2026-09-06</t>
        </is>
      </c>
      <c r="F643" t="inlineStr">
        <is>
          <t>2026-09-06</t>
        </is>
      </c>
      <c r="G643" t="inlineStr">
        <is>
          <t>LinkedIn job tracker status: Applied 6mo ago; location: Philadelphia, PA (Hybrid)</t>
        </is>
      </c>
    </row>
    <row r="644">
      <c r="A644" t="inlineStr">
        <is>
          <t>LHH</t>
        </is>
      </c>
      <c r="B644" t="inlineStr">
        <is>
          <t>OT Security Analyst</t>
        </is>
      </c>
      <c r="C644" t="inlineStr">
        <is>
          <t>Applied (auto-submission via Simplify)</t>
        </is>
      </c>
      <c r="D644" t="inlineStr">
        <is>
          <t>LinkedIn (Simplify auto-apply, reconciled 2026-09-06)</t>
        </is>
      </c>
      <c r="E644" t="inlineStr">
        <is>
          <t>2026-09-06</t>
        </is>
      </c>
      <c r="F644" t="inlineStr">
        <is>
          <t>2026-09-06</t>
        </is>
      </c>
      <c r="G644" t="inlineStr">
        <is>
          <t>LinkedIn job tracker status: Applied 6mo ago; location: Houston, TX (Hybrid)</t>
        </is>
      </c>
    </row>
    <row r="645">
      <c r="A645" t="inlineStr">
        <is>
          <t>JCW Group</t>
        </is>
      </c>
      <c r="B645" t="inlineStr">
        <is>
          <t>Cyber Security Controls</t>
        </is>
      </c>
      <c r="C645" t="inlineStr">
        <is>
          <t>Applied (auto-submission via Simplify)</t>
        </is>
      </c>
      <c r="D645" t="inlineStr">
        <is>
          <t>LinkedIn (Simplify auto-apply, reconciled 2026-09-06)</t>
        </is>
      </c>
      <c r="E645" t="inlineStr">
        <is>
          <t>2026-09-06</t>
        </is>
      </c>
      <c r="F645" t="inlineStr">
        <is>
          <t>2026-09-06</t>
        </is>
      </c>
      <c r="G645" t="inlineStr">
        <is>
          <t>LinkedIn job tracker status: Applied 6mo ago; location: New Jersey, United States (Hybrid)</t>
        </is>
      </c>
    </row>
    <row r="646">
      <c r="A646" t="inlineStr">
        <is>
          <t>Infoway Software</t>
        </is>
      </c>
      <c r="B646" t="inlineStr">
        <is>
          <t>Cyber Security Analyst 2 - Risk Assessment - 155262</t>
        </is>
      </c>
      <c r="C646" t="inlineStr">
        <is>
          <t>Applied (auto-submission via Simplify)</t>
        </is>
      </c>
      <c r="D646" t="inlineStr">
        <is>
          <t>LinkedIn (Simplify auto-apply, reconciled 2026-09-06)</t>
        </is>
      </c>
      <c r="E646" t="inlineStr">
        <is>
          <t>2026-09-06</t>
        </is>
      </c>
      <c r="F646" t="inlineStr">
        <is>
          <t>2026-09-06</t>
        </is>
      </c>
      <c r="G646" t="inlineStr">
        <is>
          <t>LinkedIn job tracker status: Applied 6mo ago; location: Augusta, ME (On-site)</t>
        </is>
      </c>
    </row>
    <row r="647">
      <c r="A647" t="inlineStr">
        <is>
          <t>Centraprise</t>
        </is>
      </c>
      <c r="B647" t="inlineStr">
        <is>
          <t>Cyber Security Architect</t>
        </is>
      </c>
      <c r="C647" t="inlineStr">
        <is>
          <t>Applied (auto-submission via Simplify)</t>
        </is>
      </c>
      <c r="D647" t="inlineStr">
        <is>
          <t>LinkedIn (Simplify auto-apply, reconciled 2026-09-06)</t>
        </is>
      </c>
      <c r="E647" t="inlineStr">
        <is>
          <t>2026-09-06</t>
        </is>
      </c>
      <c r="F647" t="inlineStr">
        <is>
          <t>2026-09-06</t>
        </is>
      </c>
      <c r="G647" t="inlineStr">
        <is>
          <t>LinkedIn job tracker status: Applied 6mo ago; location: Mason, OH (On-site)</t>
        </is>
      </c>
    </row>
    <row r="648">
      <c r="A648" t="inlineStr">
        <is>
          <t>Airswift</t>
        </is>
      </c>
      <c r="B648" t="inlineStr">
        <is>
          <t>Cyber Security Specialist</t>
        </is>
      </c>
      <c r="C648" t="inlineStr">
        <is>
          <t>Applied (auto-submission via Simplify)</t>
        </is>
      </c>
      <c r="D648" t="inlineStr">
        <is>
          <t>LinkedIn (Simplify auto-apply, reconciled 2026-09-06)</t>
        </is>
      </c>
      <c r="E648" t="inlineStr">
        <is>
          <t>2026-09-06</t>
        </is>
      </c>
      <c r="F648" t="inlineStr">
        <is>
          <t>2026-09-06</t>
        </is>
      </c>
      <c r="G648" t="inlineStr">
        <is>
          <t>LinkedIn job tracker status: Applied 6mo ago; location: Hartsville, SC (On-site)</t>
        </is>
      </c>
    </row>
    <row r="649">
      <c r="A649" t="inlineStr">
        <is>
          <t>BinaryBees Business Solutions LLC</t>
        </is>
      </c>
      <c r="B649" t="inlineStr">
        <is>
          <t>Information Security Engineer</t>
        </is>
      </c>
      <c r="C649" t="inlineStr">
        <is>
          <t>Applied (auto-submission via Simplify)</t>
        </is>
      </c>
      <c r="D649" t="inlineStr">
        <is>
          <t>LinkedIn (Simplify auto-apply, reconciled 2026-09-06)</t>
        </is>
      </c>
      <c r="E649" t="inlineStr">
        <is>
          <t>2026-09-06</t>
        </is>
      </c>
      <c r="F649" t="inlineStr">
        <is>
          <t>2026-09-06</t>
        </is>
      </c>
      <c r="G649" t="inlineStr">
        <is>
          <t>LinkedIn job tracker status: Applied 6mo ago; location: Schaumburg, IL (Hybrid)</t>
        </is>
      </c>
    </row>
    <row r="650">
      <c r="A650" t="inlineStr">
        <is>
          <t>IDR, Inc.</t>
        </is>
      </c>
      <c r="B650" t="inlineStr">
        <is>
          <t>IT Security Engineer</t>
        </is>
      </c>
      <c r="C650" t="inlineStr">
        <is>
          <t>Applied (auto-submission via Simplify)</t>
        </is>
      </c>
      <c r="D650" t="inlineStr">
        <is>
          <t>LinkedIn (Simplify auto-apply, reconciled 2026-09-06)</t>
        </is>
      </c>
      <c r="E650" t="inlineStr">
        <is>
          <t>2026-09-06</t>
        </is>
      </c>
      <c r="F650" t="inlineStr">
        <is>
          <t>2026-09-06</t>
        </is>
      </c>
      <c r="G650" t="inlineStr">
        <is>
          <t>LinkedIn job tracker status: Applied 6mo ago; location: Arlington, TX</t>
        </is>
      </c>
    </row>
    <row r="651">
      <c r="A651" t="inlineStr">
        <is>
          <t>PartnerCentric, Inc.</t>
        </is>
      </c>
      <c r="B651" t="inlineStr">
        <is>
          <t>VP, Insights &amp; AI Strategy</t>
        </is>
      </c>
      <c r="C651" t="inlineStr">
        <is>
          <t>Applied (auto-submission via Simplify)</t>
        </is>
      </c>
      <c r="D651" t="inlineStr">
        <is>
          <t>LinkedIn (Simplify auto-apply, reconciled 2026-09-06)</t>
        </is>
      </c>
      <c r="E651" t="inlineStr">
        <is>
          <t>2026-09-06</t>
        </is>
      </c>
      <c r="F651" t="inlineStr">
        <is>
          <t>2026-09-06</t>
        </is>
      </c>
      <c r="G651" t="inlineStr">
        <is>
          <t>LinkedIn job tracker status: Applied 6mo ago; location: United States (Remote)</t>
        </is>
      </c>
    </row>
    <row r="652">
      <c r="A652" t="inlineStr">
        <is>
          <t>Weiser Security Services, Inc.</t>
        </is>
      </c>
      <c r="B652" t="inlineStr">
        <is>
          <t>Security Professional</t>
        </is>
      </c>
      <c r="C652" t="inlineStr">
        <is>
          <t>Applied (auto-submission via Simplify)</t>
        </is>
      </c>
      <c r="D652" t="inlineStr">
        <is>
          <t>LinkedIn (Simplify auto-apply, reconciled 2026-09-06)</t>
        </is>
      </c>
      <c r="E652" t="inlineStr">
        <is>
          <t>2026-09-06</t>
        </is>
      </c>
      <c r="F652" t="inlineStr">
        <is>
          <t>2026-09-06</t>
        </is>
      </c>
      <c r="G652" t="inlineStr">
        <is>
          <t>LinkedIn job tracker status: Applied 6mo ago; location: Miami-Fort Lauderdale Area (On-site)</t>
        </is>
      </c>
    </row>
    <row r="653">
      <c r="A653" t="inlineStr">
        <is>
          <t>V-Soft Consulting Group</t>
        </is>
      </c>
      <c r="B653" t="inlineStr">
        <is>
          <t>Head of AIML Strategy &amp; Generative AI</t>
        </is>
      </c>
      <c r="C653" t="inlineStr">
        <is>
          <t>Applied (auto-submission via Simplify)</t>
        </is>
      </c>
      <c r="D653" t="inlineStr">
        <is>
          <t>LinkedIn (Simplify auto-apply, reconciled 2026-09-06)</t>
        </is>
      </c>
      <c r="E653" t="inlineStr">
        <is>
          <t>2026-09-06</t>
        </is>
      </c>
      <c r="F653" t="inlineStr">
        <is>
          <t>2026-09-06</t>
        </is>
      </c>
      <c r="G653" t="inlineStr">
        <is>
          <t>LinkedIn job tracker status: Applied 6mo ago; location: California, United States</t>
        </is>
      </c>
    </row>
    <row r="654">
      <c r="A654" t="inlineStr">
        <is>
          <t>Tier4 Group</t>
        </is>
      </c>
      <c r="B654" t="inlineStr">
        <is>
          <t>Jr. Identity &amp; Access Management Engineer 4932</t>
        </is>
      </c>
      <c r="C654" t="inlineStr">
        <is>
          <t>Applied (auto-submission via Simplify)</t>
        </is>
      </c>
      <c r="D654" t="inlineStr">
        <is>
          <t>LinkedIn (Simplify auto-apply, reconciled 2026-09-06)</t>
        </is>
      </c>
      <c r="E654" t="inlineStr">
        <is>
          <t>2026-09-06</t>
        </is>
      </c>
      <c r="F654" t="inlineStr">
        <is>
          <t>2026-09-06</t>
        </is>
      </c>
      <c r="G654" t="inlineStr">
        <is>
          <t>LinkedIn job tracker status: Applied 6mo ago; location: Greater Tampa Bay Area (Hybrid)</t>
        </is>
      </c>
    </row>
    <row r="655">
      <c r="A655" t="inlineStr">
        <is>
          <t>Radiant Digital</t>
        </is>
      </c>
      <c r="B655" t="inlineStr">
        <is>
          <t>Cyber Security Engineer</t>
        </is>
      </c>
      <c r="C655" t="inlineStr">
        <is>
          <t>Applied (auto-submission via Simplify)</t>
        </is>
      </c>
      <c r="D655" t="inlineStr">
        <is>
          <t>LinkedIn (Simplify auto-apply, reconciled 2026-09-06)</t>
        </is>
      </c>
      <c r="E655" t="inlineStr">
        <is>
          <t>2026-09-06</t>
        </is>
      </c>
      <c r="F655" t="inlineStr">
        <is>
          <t>2026-09-06</t>
        </is>
      </c>
      <c r="G655" t="inlineStr">
        <is>
          <t>LinkedIn job tracker status: Applied 6mo ago; location: Richmond, VA (Hybrid)</t>
        </is>
      </c>
    </row>
    <row r="656">
      <c r="A656" t="inlineStr">
        <is>
          <t>Radiant Digital</t>
        </is>
      </c>
      <c r="B656" t="inlineStr">
        <is>
          <t>Cyber Security Analyst</t>
        </is>
      </c>
      <c r="C656" t="inlineStr">
        <is>
          <t>Applied (auto-submission via Simplify)</t>
        </is>
      </c>
      <c r="D656" t="inlineStr">
        <is>
          <t>LinkedIn (Simplify auto-apply, reconciled 2026-09-06)</t>
        </is>
      </c>
      <c r="E656" t="inlineStr">
        <is>
          <t>2026-09-06</t>
        </is>
      </c>
      <c r="F656" t="inlineStr">
        <is>
          <t>2026-09-06</t>
        </is>
      </c>
      <c r="G656" t="inlineStr">
        <is>
          <t>LinkedIn job tracker status: Applied 6mo ago; location: Richmond, VA (Remote)</t>
        </is>
      </c>
    </row>
    <row r="657">
      <c r="A657" t="inlineStr">
        <is>
          <t>The Dignify Solutions, LLC</t>
        </is>
      </c>
      <c r="B657" t="inlineStr">
        <is>
          <t>SAP Basis/GRC Architect - 100% Remote</t>
        </is>
      </c>
      <c r="C657" t="inlineStr">
        <is>
          <t>Applied (auto-submission via Simplify)</t>
        </is>
      </c>
      <c r="D657" t="inlineStr">
        <is>
          <t>LinkedIn (Simplify auto-apply, reconciled 2026-09-06)</t>
        </is>
      </c>
      <c r="E657" t="inlineStr">
        <is>
          <t>2026-09-06</t>
        </is>
      </c>
      <c r="F657" t="inlineStr">
        <is>
          <t>2026-09-06</t>
        </is>
      </c>
      <c r="G657" t="inlineStr">
        <is>
          <t>LinkedIn job tracker status: Applied 6mo ago; location: Houston, TX (Remote)</t>
        </is>
      </c>
    </row>
    <row r="658">
      <c r="A658" t="inlineStr">
        <is>
          <t>Jobot</t>
        </is>
      </c>
      <c r="B658" t="inlineStr">
        <is>
          <t>Data Governance Advisor</t>
        </is>
      </c>
      <c r="C658" t="inlineStr">
        <is>
          <t>Applied (auto-submission via Simplify)</t>
        </is>
      </c>
      <c r="D658" t="inlineStr">
        <is>
          <t>LinkedIn (Simplify auto-apply, reconciled 2026-09-06)</t>
        </is>
      </c>
      <c r="E658" t="inlineStr">
        <is>
          <t>2026-09-06</t>
        </is>
      </c>
      <c r="F658" t="inlineStr">
        <is>
          <t>2026-09-06</t>
        </is>
      </c>
      <c r="G658" t="inlineStr">
        <is>
          <t>LinkedIn job tracker status: Applied 6mo ago; location: Austin, TX (On-site)</t>
        </is>
      </c>
    </row>
    <row r="659">
      <c r="A659" t="inlineStr">
        <is>
          <t>Insight Global</t>
        </is>
      </c>
      <c r="B659" t="inlineStr">
        <is>
          <t>Information System Security Officer</t>
        </is>
      </c>
      <c r="C659" t="inlineStr">
        <is>
          <t>Applied (auto-submission via Simplify)</t>
        </is>
      </c>
      <c r="D659" t="inlineStr">
        <is>
          <t>LinkedIn (Simplify auto-apply, reconciled 2026-09-06)</t>
        </is>
      </c>
      <c r="E659" t="inlineStr">
        <is>
          <t>2026-09-06</t>
        </is>
      </c>
      <c r="F659" t="inlineStr">
        <is>
          <t>2026-09-06</t>
        </is>
      </c>
      <c r="G659" t="inlineStr">
        <is>
          <t>LinkedIn job tracker status: Applied 6mo ago; location: Alabama, United States (On-site)</t>
        </is>
      </c>
    </row>
    <row r="660">
      <c r="A660" t="inlineStr">
        <is>
          <t>PRI Technology</t>
        </is>
      </c>
      <c r="B660" t="inlineStr">
        <is>
          <t>Director, Network Security</t>
        </is>
      </c>
      <c r="C660" t="inlineStr">
        <is>
          <t>Applied (auto-submission via Simplify)</t>
        </is>
      </c>
      <c r="D660" t="inlineStr">
        <is>
          <t>LinkedIn (Simplify auto-apply, reconciled 2026-09-06)</t>
        </is>
      </c>
      <c r="E660" t="inlineStr">
        <is>
          <t>2026-09-06</t>
        </is>
      </c>
      <c r="F660" t="inlineStr">
        <is>
          <t>2026-09-06</t>
        </is>
      </c>
      <c r="G660" t="inlineStr">
        <is>
          <t>LinkedIn job tracker status: Applied 6mo ago; location: Austin, Texas Metropolitan Area (Hybrid)</t>
        </is>
      </c>
    </row>
    <row r="661">
      <c r="A661" t="inlineStr">
        <is>
          <t>Boston Government Services, LLC (BGS)</t>
        </is>
      </c>
      <c r="B661" t="inlineStr">
        <is>
          <t>Security Control Assessor</t>
        </is>
      </c>
      <c r="C661" t="inlineStr">
        <is>
          <t>Applied (auto-submission via Simplify)</t>
        </is>
      </c>
      <c r="D661" t="inlineStr">
        <is>
          <t>LinkedIn (Simplify auto-apply, reconciled 2026-09-06)</t>
        </is>
      </c>
      <c r="E661" t="inlineStr">
        <is>
          <t>2026-09-06</t>
        </is>
      </c>
      <c r="F661" t="inlineStr">
        <is>
          <t>2026-09-06</t>
        </is>
      </c>
      <c r="G661" t="inlineStr">
        <is>
          <t>LinkedIn job tracker status: Applied 6mo ago; location: Knoxville Metropolitan Area</t>
        </is>
      </c>
    </row>
    <row r="662">
      <c r="A662" t="inlineStr">
        <is>
          <t>talisman</t>
        </is>
      </c>
      <c r="B662" t="inlineStr">
        <is>
          <t>Principal NERC Cybersecurity Consultant</t>
        </is>
      </c>
      <c r="C662" t="inlineStr">
        <is>
          <t>Applied (auto-submission via Simplify)</t>
        </is>
      </c>
      <c r="D662" t="inlineStr">
        <is>
          <t>LinkedIn (Simplify auto-apply, reconciled 2026-09-06)</t>
        </is>
      </c>
      <c r="E662" t="inlineStr">
        <is>
          <t>2026-09-06</t>
        </is>
      </c>
      <c r="F662" t="inlineStr">
        <is>
          <t>2026-09-06</t>
        </is>
      </c>
      <c r="G662" t="inlineStr">
        <is>
          <t>LinkedIn job tracker status: Applied 6mo ago; location: Chicago, IL (On-site)</t>
        </is>
      </c>
    </row>
    <row r="663">
      <c r="A663" t="inlineStr">
        <is>
          <t>InfoStride</t>
        </is>
      </c>
      <c r="B663" t="inlineStr">
        <is>
          <t>Risk Compliance Manager</t>
        </is>
      </c>
      <c r="C663" t="inlineStr">
        <is>
          <t>Applied (auto-submission via Simplify)</t>
        </is>
      </c>
      <c r="D663" t="inlineStr">
        <is>
          <t>LinkedIn (Simplify auto-apply, reconciled 2026-09-06)</t>
        </is>
      </c>
      <c r="E663" t="inlineStr">
        <is>
          <t>2026-09-06</t>
        </is>
      </c>
      <c r="F663" t="inlineStr">
        <is>
          <t>2026-09-06</t>
        </is>
      </c>
      <c r="G663" t="inlineStr">
        <is>
          <t>LinkedIn job tracker status: Applied 6mo ago; location: Lansing, MI (Hybrid)</t>
        </is>
      </c>
    </row>
    <row r="664">
      <c r="A664" t="inlineStr">
        <is>
          <t>Cornerstone Companies, Inc.</t>
        </is>
      </c>
      <c r="B664" t="inlineStr">
        <is>
          <t>Information Technology Coordinator</t>
        </is>
      </c>
      <c r="C664" t="inlineStr">
        <is>
          <t>Applied (auto-submission via Simplify)</t>
        </is>
      </c>
      <c r="D664" t="inlineStr">
        <is>
          <t>LinkedIn (Simplify auto-apply, reconciled 2026-09-06)</t>
        </is>
      </c>
      <c r="E664" t="inlineStr">
        <is>
          <t>2026-09-06</t>
        </is>
      </c>
      <c r="F664" t="inlineStr">
        <is>
          <t>2026-09-06</t>
        </is>
      </c>
      <c r="G664" t="inlineStr">
        <is>
          <t>LinkedIn job tracker status: Applied 6mo ago; location: Indianapolis, IN (On-site)</t>
        </is>
      </c>
    </row>
    <row r="665">
      <c r="A665" t="inlineStr">
        <is>
          <t>Marcus &amp; Millichap</t>
        </is>
      </c>
      <c r="B665" t="inlineStr">
        <is>
          <t>IT Audit &amp; Compliance Analyst</t>
        </is>
      </c>
      <c r="C665" t="inlineStr">
        <is>
          <t>Applied (auto-submission via Simplify)</t>
        </is>
      </c>
      <c r="D665" t="inlineStr">
        <is>
          <t>LinkedIn (Simplify auto-apply, reconciled 2026-09-06)</t>
        </is>
      </c>
      <c r="E665" t="inlineStr">
        <is>
          <t>2026-09-06</t>
        </is>
      </c>
      <c r="F665" t="inlineStr">
        <is>
          <t>2026-09-06</t>
        </is>
      </c>
      <c r="G665" t="inlineStr">
        <is>
          <t>LinkedIn job tracker status: Applied 6mo ago; location: Portland, OR (On-site)</t>
        </is>
      </c>
    </row>
    <row r="666">
      <c r="A666" t="inlineStr">
        <is>
          <t>Securance Consulting</t>
        </is>
      </c>
      <c r="B666" t="inlineStr">
        <is>
          <t>INFORMATION SECURITY OFFICER</t>
        </is>
      </c>
      <c r="C666" t="inlineStr">
        <is>
          <t>Applied (auto-submission via Simplify)</t>
        </is>
      </c>
      <c r="D666" t="inlineStr">
        <is>
          <t>LinkedIn (Simplify auto-apply, reconciled 2026-09-06)</t>
        </is>
      </c>
      <c r="E666" t="inlineStr">
        <is>
          <t>2026-09-06</t>
        </is>
      </c>
      <c r="F666" t="inlineStr">
        <is>
          <t>2026-09-06</t>
        </is>
      </c>
      <c r="G666" t="inlineStr">
        <is>
          <t>LinkedIn job tracker status: Applied 6mo ago; location: Houston, TX (On-site)</t>
        </is>
      </c>
    </row>
    <row r="667">
      <c r="A667" t="inlineStr">
        <is>
          <t>Motion Recruitment</t>
        </is>
      </c>
      <c r="B667" t="inlineStr">
        <is>
          <t>Cyber security Engineer - Threat and Incident response</t>
        </is>
      </c>
      <c r="C667" t="inlineStr">
        <is>
          <t>Applied (auto-submission via Simplify)</t>
        </is>
      </c>
      <c r="D667" t="inlineStr">
        <is>
          <t>LinkedIn (Simplify auto-apply, reconciled 2026-09-06)</t>
        </is>
      </c>
      <c r="E667" t="inlineStr">
        <is>
          <t>2026-09-06</t>
        </is>
      </c>
      <c r="F667" t="inlineStr">
        <is>
          <t>2026-09-06</t>
        </is>
      </c>
      <c r="G667" t="inlineStr">
        <is>
          <t>LinkedIn job tracker status: Applied 6mo ago; location: Arlington, TX (On-site)</t>
        </is>
      </c>
    </row>
    <row r="668">
      <c r="A668" t="inlineStr">
        <is>
          <t>Trilyon, Inc.</t>
        </is>
      </c>
      <c r="B668" t="inlineStr">
        <is>
          <t>Information Security Analyst</t>
        </is>
      </c>
      <c r="C668" t="inlineStr">
        <is>
          <t>Applied (auto-submission via Simplify)</t>
        </is>
      </c>
      <c r="D668" t="inlineStr">
        <is>
          <t>LinkedIn (Simplify auto-apply, reconciled 2026-09-06)</t>
        </is>
      </c>
      <c r="E668" t="inlineStr">
        <is>
          <t>2026-09-06</t>
        </is>
      </c>
      <c r="F668" t="inlineStr">
        <is>
          <t>2026-09-06</t>
        </is>
      </c>
      <c r="G668" t="inlineStr">
        <is>
          <t>LinkedIn job tracker status: Applied 6mo ago; location: Lansing, MI (Hybrid)</t>
        </is>
      </c>
    </row>
    <row r="669">
      <c r="A669" t="inlineStr">
        <is>
          <t>AARATECH</t>
        </is>
      </c>
      <c r="B669" t="inlineStr">
        <is>
          <t>Cyber Security Specialist</t>
        </is>
      </c>
      <c r="C669" t="inlineStr">
        <is>
          <t>Applied (auto-submission via Simplify)</t>
        </is>
      </c>
      <c r="D669" t="inlineStr">
        <is>
          <t>LinkedIn (Simplify auto-apply, reconciled 2026-09-06)</t>
        </is>
      </c>
      <c r="E669" t="inlineStr">
        <is>
          <t>2026-09-06</t>
        </is>
      </c>
      <c r="F669" t="inlineStr">
        <is>
          <t>2026-09-06</t>
        </is>
      </c>
      <c r="G669" t="inlineStr">
        <is>
          <t>LinkedIn job tracker status: Applied 6mo ago; location: Seattle, WA (On-site)</t>
        </is>
      </c>
    </row>
    <row r="670">
      <c r="A670" t="inlineStr">
        <is>
          <t>Richard, Wayne &amp; Roberts</t>
        </is>
      </c>
      <c r="B670" t="inlineStr">
        <is>
          <t>Cyber Security Engineer</t>
        </is>
      </c>
      <c r="C670" t="inlineStr">
        <is>
          <t>Applied (auto-submission via Simplify)</t>
        </is>
      </c>
      <c r="D670" t="inlineStr">
        <is>
          <t>LinkedIn (Simplify auto-apply, reconciled 2026-09-06)</t>
        </is>
      </c>
      <c r="E670" t="inlineStr">
        <is>
          <t>2026-09-06</t>
        </is>
      </c>
      <c r="F670" t="inlineStr">
        <is>
          <t>2026-09-06</t>
        </is>
      </c>
      <c r="G670" t="inlineStr">
        <is>
          <t>LinkedIn job tracker status: Applied 6mo ago; location: Midland, TX (On-site)</t>
        </is>
      </c>
    </row>
    <row r="671">
      <c r="A671" t="inlineStr">
        <is>
          <t>SeedPod Cyber</t>
        </is>
      </c>
      <c r="B671" t="inlineStr">
        <is>
          <t>Tech E&amp;O / Cyber Insurance Producer</t>
        </is>
      </c>
      <c r="C671" t="inlineStr">
        <is>
          <t>Applied (auto-submission via Simplify)</t>
        </is>
      </c>
      <c r="D671" t="inlineStr">
        <is>
          <t>LinkedIn (Simplify auto-apply, reconciled 2026-09-06)</t>
        </is>
      </c>
      <c r="E671" t="inlineStr">
        <is>
          <t>2026-09-06</t>
        </is>
      </c>
      <c r="F671" t="inlineStr">
        <is>
          <t>2026-09-06</t>
        </is>
      </c>
      <c r="G671" t="inlineStr">
        <is>
          <t>LinkedIn job tracker status: Applied 6mo ago; location: United States (Remote)</t>
        </is>
      </c>
    </row>
    <row r="672">
      <c r="A672" t="inlineStr">
        <is>
          <t>Veracity Software Inc</t>
        </is>
      </c>
      <c r="B672" t="inlineStr">
        <is>
          <t>Information Systems Architect - Health - IT</t>
        </is>
      </c>
      <c r="C672" t="inlineStr">
        <is>
          <t>Applied (auto-submission via Simplify)</t>
        </is>
      </c>
      <c r="D672" t="inlineStr">
        <is>
          <t>LinkedIn (Simplify auto-apply, reconciled 2026-09-06)</t>
        </is>
      </c>
      <c r="E672" t="inlineStr">
        <is>
          <t>2026-09-06</t>
        </is>
      </c>
      <c r="F672" t="inlineStr">
        <is>
          <t>2026-09-06</t>
        </is>
      </c>
      <c r="G672" t="inlineStr">
        <is>
          <t>LinkedIn job tracker status: Applied 6mo ago; location: South Carolina, United States (Remote)</t>
        </is>
      </c>
    </row>
    <row r="673">
      <c r="A673" t="inlineStr">
        <is>
          <t>World Wide Technology, Inc. - JW</t>
        </is>
      </c>
      <c r="B673" t="inlineStr">
        <is>
          <t>Vertical Systems Engineer - Healthcare</t>
        </is>
      </c>
      <c r="C673" t="inlineStr">
        <is>
          <t>Applied (auto-submission via Simplify)</t>
        </is>
      </c>
      <c r="D673" t="inlineStr">
        <is>
          <t>LinkedIn (Simplify auto-apply, reconciled 2026-09-06)</t>
        </is>
      </c>
      <c r="E673" t="inlineStr">
        <is>
          <t>2026-09-06</t>
        </is>
      </c>
      <c r="F673" t="inlineStr">
        <is>
          <t>2026-09-06</t>
        </is>
      </c>
      <c r="G673" t="inlineStr">
        <is>
          <t>LinkedIn job tracker status: Applied 6mo ago; location: Belleair Shore, FL</t>
        </is>
      </c>
    </row>
    <row r="674">
      <c r="A674" t="inlineStr">
        <is>
          <t>Mediant Health Resources</t>
        </is>
      </c>
      <c r="B674" t="inlineStr">
        <is>
          <t>Healthcare IAM Cybersecurity Manager</t>
        </is>
      </c>
      <c r="C674" t="inlineStr">
        <is>
          <t>Applied (auto-submission via Simplify)</t>
        </is>
      </c>
      <c r="D674" t="inlineStr">
        <is>
          <t>LinkedIn (Simplify auto-apply, reconciled 2026-09-06)</t>
        </is>
      </c>
      <c r="E674" t="inlineStr">
        <is>
          <t>2026-09-06</t>
        </is>
      </c>
      <c r="F674" t="inlineStr">
        <is>
          <t>2026-09-06</t>
        </is>
      </c>
      <c r="G674" t="inlineStr">
        <is>
          <t>LinkedIn job tracker status: Applied 6mo ago; location: Omaha, NE</t>
        </is>
      </c>
    </row>
    <row r="675">
      <c r="A675" t="inlineStr">
        <is>
          <t>TechnoSphere, Inc.</t>
        </is>
      </c>
      <c r="B675" t="inlineStr">
        <is>
          <t>Healthcare Manager</t>
        </is>
      </c>
      <c r="C675" t="inlineStr">
        <is>
          <t>Applied (auto-submission via Simplify)</t>
        </is>
      </c>
      <c r="D675" t="inlineStr">
        <is>
          <t>LinkedIn (Simplify auto-apply, reconciled 2026-09-06)</t>
        </is>
      </c>
      <c r="E675" t="inlineStr">
        <is>
          <t>2026-09-06</t>
        </is>
      </c>
      <c r="F675" t="inlineStr">
        <is>
          <t>2026-09-06</t>
        </is>
      </c>
      <c r="G675" t="inlineStr">
        <is>
          <t>LinkedIn job tracker status: Applied 6mo ago; location: Cleveland, OH (On-site)</t>
        </is>
      </c>
    </row>
    <row r="676">
      <c r="A676" t="inlineStr">
        <is>
          <t>Delpath</t>
        </is>
      </c>
      <c r="B676" t="inlineStr">
        <is>
          <t>Information Technology Security Analyst</t>
        </is>
      </c>
      <c r="C676" t="inlineStr">
        <is>
          <t>Applied (auto-submission via Simplify)</t>
        </is>
      </c>
      <c r="D676" t="inlineStr">
        <is>
          <t>LinkedIn (Simplify auto-apply, reconciled 2026-09-06)</t>
        </is>
      </c>
      <c r="E676" t="inlineStr">
        <is>
          <t>2026-09-06</t>
        </is>
      </c>
      <c r="F676" t="inlineStr">
        <is>
          <t>2026-09-06</t>
        </is>
      </c>
      <c r="G676" t="inlineStr">
        <is>
          <t>LinkedIn job tracker status: Applied 6mo ago; location: Toronto, ON (Hybrid)</t>
        </is>
      </c>
    </row>
    <row r="677">
      <c r="A677" t="inlineStr">
        <is>
          <t>LinkedIn</t>
        </is>
      </c>
      <c r="B677" t="inlineStr">
        <is>
          <t>Cybersecurity AI Trainer</t>
        </is>
      </c>
      <c r="C677" t="inlineStr">
        <is>
          <t>Applied (auto-submission via Simplify)</t>
        </is>
      </c>
      <c r="D677" t="inlineStr">
        <is>
          <t>LinkedIn (Simplify auto-apply, reconciled 2026-09-06)</t>
        </is>
      </c>
      <c r="E677" t="inlineStr">
        <is>
          <t>2026-09-06</t>
        </is>
      </c>
      <c r="F677" t="inlineStr">
        <is>
          <t>2026-09-06</t>
        </is>
      </c>
      <c r="G677" t="inlineStr">
        <is>
          <t>LinkedIn job tracker status: Applied 7mo ago; location: United States (Remote)</t>
        </is>
      </c>
    </row>
    <row r="678">
      <c r="A678" t="inlineStr">
        <is>
          <t>Resolve Tech Solutions</t>
        </is>
      </c>
      <c r="B678" t="inlineStr">
        <is>
          <t>Information Security Architect - GRC</t>
        </is>
      </c>
      <c r="C678" t="inlineStr">
        <is>
          <t>Applied (auto-submission via Simplify)</t>
        </is>
      </c>
      <c r="D678" t="inlineStr">
        <is>
          <t>LinkedIn (Simplify auto-apply, reconciled 2026-09-06)</t>
        </is>
      </c>
      <c r="E678" t="inlineStr">
        <is>
          <t>2026-09-06</t>
        </is>
      </c>
      <c r="F678" t="inlineStr">
        <is>
          <t>2026-09-06</t>
        </is>
      </c>
      <c r="G678" t="inlineStr">
        <is>
          <t>LinkedIn job tracker status: Applied 7mo ago; location: Spring, TX (On-site)</t>
        </is>
      </c>
    </row>
    <row r="679">
      <c r="A679" t="inlineStr">
        <is>
          <t>Corps Team</t>
        </is>
      </c>
      <c r="B679" t="inlineStr">
        <is>
          <t>Information Technology Security Analyst</t>
        </is>
      </c>
      <c r="C679" t="inlineStr">
        <is>
          <t>Applied (auto-submission via Simplify)</t>
        </is>
      </c>
      <c r="D679" t="inlineStr">
        <is>
          <t>LinkedIn (Simplify auto-apply, reconciled 2026-09-06)</t>
        </is>
      </c>
      <c r="E679" t="inlineStr">
        <is>
          <t>2026-09-06</t>
        </is>
      </c>
      <c r="F679" t="inlineStr">
        <is>
          <t>2026-09-06</t>
        </is>
      </c>
      <c r="G679" t="inlineStr">
        <is>
          <t>LinkedIn job tracker status: Applied 7mo ago; location: Houston, TX (Hybrid)</t>
        </is>
      </c>
    </row>
    <row r="680">
      <c r="A680" t="inlineStr">
        <is>
          <t>HCTec</t>
        </is>
      </c>
      <c r="B680" t="inlineStr">
        <is>
          <t>Senior Information Security Analyst</t>
        </is>
      </c>
      <c r="C680" t="inlineStr">
        <is>
          <t>Applied (auto-submission via Simplify)</t>
        </is>
      </c>
      <c r="D680" t="inlineStr">
        <is>
          <t>LinkedIn (Simplify auto-apply, reconciled 2026-09-06)</t>
        </is>
      </c>
      <c r="E680" t="inlineStr">
        <is>
          <t>2026-09-06</t>
        </is>
      </c>
      <c r="F680" t="inlineStr">
        <is>
          <t>2026-09-06</t>
        </is>
      </c>
      <c r="G680" t="inlineStr">
        <is>
          <t>LinkedIn job tracker status: Applied 7mo ago; location: Tulsa, OK (On-site)</t>
        </is>
      </c>
    </row>
    <row r="681">
      <c r="A681" t="inlineStr">
        <is>
          <t>Jobgether</t>
        </is>
      </c>
      <c r="B681" t="inlineStr">
        <is>
          <t>Compliance Consultant, CMMC</t>
        </is>
      </c>
      <c r="C681" t="inlineStr">
        <is>
          <t>Applied (auto-submission via Simplify)</t>
        </is>
      </c>
      <c r="D681" t="inlineStr">
        <is>
          <t>LinkedIn (Simplify auto-apply, reconciled 2026-09-06)</t>
        </is>
      </c>
      <c r="E681" t="inlineStr">
        <is>
          <t>2026-09-06</t>
        </is>
      </c>
      <c r="F681" t="inlineStr">
        <is>
          <t>2026-09-06</t>
        </is>
      </c>
      <c r="G681" t="inlineStr">
        <is>
          <t>LinkedIn job tracker status: Applied 7mo ago; location: United States (Remote)</t>
        </is>
      </c>
    </row>
    <row r="682">
      <c r="A682" t="inlineStr">
        <is>
          <t>Waypoint Services</t>
        </is>
      </c>
      <c r="B682" t="inlineStr">
        <is>
          <t>Senior Cyber Security Engineer</t>
        </is>
      </c>
      <c r="C682" t="inlineStr">
        <is>
          <t>Applied (auto-submission via Simplify)</t>
        </is>
      </c>
      <c r="D682" t="inlineStr">
        <is>
          <t>LinkedIn (Simplify auto-apply, reconciled 2026-09-06)</t>
        </is>
      </c>
      <c r="E682" t="inlineStr">
        <is>
          <t>2026-09-06</t>
        </is>
      </c>
      <c r="F682" t="inlineStr">
        <is>
          <t>2026-09-06</t>
        </is>
      </c>
      <c r="G682" t="inlineStr">
        <is>
          <t>LinkedIn job tracker status: Applied 7mo ago; location: Green Bay, WI (On-site)</t>
        </is>
      </c>
    </row>
    <row r="683">
      <c r="A683" t="inlineStr">
        <is>
          <t>Harvey Nash</t>
        </is>
      </c>
      <c r="B683" t="inlineStr">
        <is>
          <t>Cyber Security Architect</t>
        </is>
      </c>
      <c r="C683" t="inlineStr">
        <is>
          <t>Applied (auto-submission via Simplify)</t>
        </is>
      </c>
      <c r="D683" t="inlineStr">
        <is>
          <t>LinkedIn (Simplify auto-apply, reconciled 2026-09-06)</t>
        </is>
      </c>
      <c r="E683" t="inlineStr">
        <is>
          <t>2026-09-06</t>
        </is>
      </c>
      <c r="F683" t="inlineStr">
        <is>
          <t>2026-09-06</t>
        </is>
      </c>
      <c r="G683" t="inlineStr">
        <is>
          <t>LinkedIn job tracker status: Applied 7mo ago; location: Peoria, IL (On-site)</t>
        </is>
      </c>
    </row>
    <row r="684">
      <c r="A684" t="inlineStr">
        <is>
          <t>AMER Technology, Inc.</t>
        </is>
      </c>
      <c r="B684" t="inlineStr">
        <is>
          <t>System Security Specialist</t>
        </is>
      </c>
      <c r="C684" t="inlineStr">
        <is>
          <t>Applied (auto-submission via Simplify)</t>
        </is>
      </c>
      <c r="D684" t="inlineStr">
        <is>
          <t>LinkedIn (Simplify auto-apply, reconciled 2026-09-06)</t>
        </is>
      </c>
      <c r="E684" t="inlineStr">
        <is>
          <t>2026-09-06</t>
        </is>
      </c>
      <c r="F684" t="inlineStr">
        <is>
          <t>2026-09-06</t>
        </is>
      </c>
      <c r="G684" t="inlineStr">
        <is>
          <t>LinkedIn job tracker status: Applied 7mo ago; location: Baltimore, MD (Hybrid)</t>
        </is>
      </c>
    </row>
    <row r="685">
      <c r="A685" t="inlineStr">
        <is>
          <t>Hays</t>
        </is>
      </c>
      <c r="B685" t="inlineStr">
        <is>
          <t>Information Security Officer</t>
        </is>
      </c>
      <c r="C685" t="inlineStr">
        <is>
          <t>Applied (auto-submission via Simplify)</t>
        </is>
      </c>
      <c r="D685" t="inlineStr">
        <is>
          <t>LinkedIn (Simplify auto-apply, reconciled 2026-09-06)</t>
        </is>
      </c>
      <c r="E685" t="inlineStr">
        <is>
          <t>2026-09-06</t>
        </is>
      </c>
      <c r="F685" t="inlineStr">
        <is>
          <t>2026-09-06</t>
        </is>
      </c>
      <c r="G685" t="inlineStr">
        <is>
          <t>LinkedIn job tracker status: Applied 7mo ago; location: Chicago, IL (On-site)</t>
        </is>
      </c>
    </row>
    <row r="686">
      <c r="A686" t="inlineStr">
        <is>
          <t>Wise Equation Solutions Inc.</t>
        </is>
      </c>
      <c r="B686" t="inlineStr">
        <is>
          <t>Cyber Security Engineer</t>
        </is>
      </c>
      <c r="C686" t="inlineStr">
        <is>
          <t>Applied (auto-submission via Simplify)</t>
        </is>
      </c>
      <c r="D686" t="inlineStr">
        <is>
          <t>LinkedIn (Simplify auto-apply, reconciled 2026-09-06)</t>
        </is>
      </c>
      <c r="E686" t="inlineStr">
        <is>
          <t>2026-09-06</t>
        </is>
      </c>
      <c r="F686" t="inlineStr">
        <is>
          <t>2026-09-06</t>
        </is>
      </c>
      <c r="G686" t="inlineStr">
        <is>
          <t>LinkedIn job tracker status: Applied 7mo ago; location: Mossville, IL (On-site)</t>
        </is>
      </c>
    </row>
    <row r="687">
      <c r="A687" t="inlineStr">
        <is>
          <t>Cullerton Group</t>
        </is>
      </c>
      <c r="B687" t="inlineStr">
        <is>
          <t>Cybersecurity Engineer 5</t>
        </is>
      </c>
      <c r="C687" t="inlineStr">
        <is>
          <t>Applied (auto-submission via Simplify)</t>
        </is>
      </c>
      <c r="D687" t="inlineStr">
        <is>
          <t>LinkedIn (Simplify auto-apply, reconciled 2026-09-06)</t>
        </is>
      </c>
      <c r="E687" t="inlineStr">
        <is>
          <t>2026-09-06</t>
        </is>
      </c>
      <c r="F687" t="inlineStr">
        <is>
          <t>2026-09-06</t>
        </is>
      </c>
      <c r="G687" t="inlineStr">
        <is>
          <t>LinkedIn job tracker status: Applied 7mo ago; location: Mossville, IL (On-site)</t>
        </is>
      </c>
    </row>
    <row r="688">
      <c r="A688" t="inlineStr">
        <is>
          <t>The Guthrie Clinic</t>
        </is>
      </c>
      <c r="B688" t="inlineStr">
        <is>
          <t>VP, Cybersecurity/CISO - IT Administration - Full Time (Hybrid)</t>
        </is>
      </c>
      <c r="C688" t="inlineStr">
        <is>
          <t>Applied (auto-submission via Simplify)</t>
        </is>
      </c>
      <c r="D688" t="inlineStr">
        <is>
          <t>LinkedIn (Simplify auto-apply, reconciled 2026-09-06)</t>
        </is>
      </c>
      <c r="E688" t="inlineStr">
        <is>
          <t>2026-09-06</t>
        </is>
      </c>
      <c r="F688" t="inlineStr">
        <is>
          <t>2026-09-06</t>
        </is>
      </c>
      <c r="G688" t="inlineStr">
        <is>
          <t>LinkedIn job tracker status: Applied 7mo ago; location: Sayre, PA (Hybrid)</t>
        </is>
      </c>
    </row>
    <row r="689">
      <c r="A689" t="inlineStr">
        <is>
          <t>NewSouth Technologies, Inc.</t>
        </is>
      </c>
      <c r="B689" t="inlineStr">
        <is>
          <t>Cyber Security Consultant</t>
        </is>
      </c>
      <c r="C689" t="inlineStr">
        <is>
          <t>Applied (auto-submission via Simplify)</t>
        </is>
      </c>
      <c r="D689" t="inlineStr">
        <is>
          <t>LinkedIn (Simplify auto-apply, reconciled 2026-09-06)</t>
        </is>
      </c>
      <c r="E689" t="inlineStr">
        <is>
          <t>2026-09-06</t>
        </is>
      </c>
      <c r="F689" t="inlineStr">
        <is>
          <t>2026-09-06</t>
        </is>
      </c>
      <c r="G689" t="inlineStr">
        <is>
          <t>LinkedIn job tracker status: Applied 7mo ago; location: Raleigh, NC (On-site)</t>
        </is>
      </c>
    </row>
    <row r="690">
      <c r="A690" t="inlineStr">
        <is>
          <t>Hayward Tyler</t>
        </is>
      </c>
      <c r="B690" t="inlineStr">
        <is>
          <t>Compliance Officer</t>
        </is>
      </c>
      <c r="C690" t="inlineStr">
        <is>
          <t>Applied (auto-submission via Simplify)</t>
        </is>
      </c>
      <c r="D690" t="inlineStr">
        <is>
          <t>LinkedIn (Simplify auto-apply, reconciled 2026-09-06)</t>
        </is>
      </c>
      <c r="E690" t="inlineStr">
        <is>
          <t>2026-09-06</t>
        </is>
      </c>
      <c r="F690" t="inlineStr">
        <is>
          <t>2026-09-06</t>
        </is>
      </c>
      <c r="G690" t="inlineStr">
        <is>
          <t>LinkedIn job tracker status: Applied 7mo ago; location: Colchester, VT (On-site)</t>
        </is>
      </c>
    </row>
    <row r="691">
      <c r="A691" t="inlineStr">
        <is>
          <t>Palmer Square Capital Management LLC</t>
        </is>
      </c>
      <c r="B691" t="inlineStr">
        <is>
          <t>Compliance Officer</t>
        </is>
      </c>
      <c r="C691" t="inlineStr">
        <is>
          <t>Applied (auto-submission via Simplify)</t>
        </is>
      </c>
      <c r="D691" t="inlineStr">
        <is>
          <t>LinkedIn (Simplify auto-apply, reconciled 2026-09-06)</t>
        </is>
      </c>
      <c r="E691" t="inlineStr">
        <is>
          <t>2026-09-06</t>
        </is>
      </c>
      <c r="F691" t="inlineStr">
        <is>
          <t>2026-09-06</t>
        </is>
      </c>
      <c r="G691" t="inlineStr">
        <is>
          <t>LinkedIn job tracker status: Applied 7mo ago; location: Mission, KS (On-site)</t>
        </is>
      </c>
    </row>
    <row r="692">
      <c r="A692" t="inlineStr">
        <is>
          <t>CASE Management Consulting, LLC</t>
        </is>
      </c>
      <c r="B692" t="inlineStr">
        <is>
          <t>Professional Opportunities</t>
        </is>
      </c>
      <c r="C692" t="inlineStr">
        <is>
          <t>Applied (auto-submission via Simplify)</t>
        </is>
      </c>
      <c r="D692" t="inlineStr">
        <is>
          <t>LinkedIn (Simplify auto-apply, reconciled 2026-09-06)</t>
        </is>
      </c>
      <c r="E692" t="inlineStr">
        <is>
          <t>2026-09-06</t>
        </is>
      </c>
      <c r="F692" t="inlineStr">
        <is>
          <t>2026-09-06</t>
        </is>
      </c>
      <c r="G692" t="inlineStr">
        <is>
          <t>LinkedIn job tracker status: Applied 1w ago; location: Virginia, United States (On-site)</t>
        </is>
      </c>
    </row>
    <row r="693">
      <c r="A693" t="inlineStr">
        <is>
          <t>MetroStar Systems, Inc.</t>
        </is>
      </c>
      <c r="B693" t="inlineStr">
        <is>
          <t>Sr. Systems Engineer I (6227)</t>
        </is>
      </c>
      <c r="C693" t="inlineStr">
        <is>
          <t>Applied (auto-submission via Simplify)</t>
        </is>
      </c>
      <c r="D693" t="inlineStr">
        <is>
          <t>LinkedIn (Simplify auto-apply, reconciled 2026-09-06)</t>
        </is>
      </c>
      <c r="E693" t="inlineStr">
        <is>
          <t>2026-09-06</t>
        </is>
      </c>
      <c r="F693" t="inlineStr">
        <is>
          <t>2026-09-06</t>
        </is>
      </c>
      <c r="G693" t="inlineStr">
        <is>
          <t>LinkedIn job tracker status: Applied 1w ago; location: Washington, DC (Hybrid)</t>
        </is>
      </c>
    </row>
    <row r="694">
      <c r="A694" t="inlineStr">
        <is>
          <t>Kforce Inc</t>
        </is>
      </c>
      <c r="B694" t="inlineStr">
        <is>
          <t>Forward Deployment Engineer AI Security</t>
        </is>
      </c>
      <c r="C694" t="inlineStr">
        <is>
          <t>Applied (auto-submission via Simplify)</t>
        </is>
      </c>
      <c r="D694" t="inlineStr">
        <is>
          <t>LinkedIn (Simplify auto-apply, reconciled 2026-09-06)</t>
        </is>
      </c>
      <c r="E694" t="inlineStr">
        <is>
          <t>2026-09-06</t>
        </is>
      </c>
      <c r="F694" t="inlineStr">
        <is>
          <t>2026-09-06</t>
        </is>
      </c>
      <c r="G694" t="inlineStr">
        <is>
          <t>LinkedIn job tracker status: Applied 1w ago; location: Round Rock, TX (On-site)</t>
        </is>
      </c>
    </row>
    <row r="695">
      <c r="A695" t="inlineStr">
        <is>
          <t>ECLARO</t>
        </is>
      </c>
      <c r="B695" t="inlineStr">
        <is>
          <t>Copilot, Cowork &amp; Copilot Studio Governance Engineer</t>
        </is>
      </c>
      <c r="C695" t="inlineStr">
        <is>
          <t>Applied (auto-submission via Simplify)</t>
        </is>
      </c>
      <c r="D695" t="inlineStr">
        <is>
          <t>LinkedIn (Simplify auto-apply, reconciled 2026-09-06)</t>
        </is>
      </c>
      <c r="E695" t="inlineStr">
        <is>
          <t>2026-09-06</t>
        </is>
      </c>
      <c r="F695" t="inlineStr">
        <is>
          <t>2026-09-06</t>
        </is>
      </c>
      <c r="G695" t="inlineStr">
        <is>
          <t>LinkedIn job tracker status: Applied 1w ago; location: New York, NY (On-site)</t>
        </is>
      </c>
    </row>
    <row r="696">
      <c r="A696" t="inlineStr">
        <is>
          <t>DataStaff, Inc.</t>
        </is>
      </c>
      <c r="B696" t="inlineStr">
        <is>
          <t>Infrastructure Solutions Architect</t>
        </is>
      </c>
      <c r="C696" t="inlineStr">
        <is>
          <t>Applied (auto-submission via Simplify)</t>
        </is>
      </c>
      <c r="D696" t="inlineStr">
        <is>
          <t>LinkedIn (Simplify auto-apply, reconciled 2026-09-06)</t>
        </is>
      </c>
      <c r="E696" t="inlineStr">
        <is>
          <t>2026-09-06</t>
        </is>
      </c>
      <c r="F696" t="inlineStr">
        <is>
          <t>2026-09-06</t>
        </is>
      </c>
      <c r="G696" t="inlineStr">
        <is>
          <t>LinkedIn job tracker status: Applied 1w ago; location: Richmond, VA (On-site)</t>
        </is>
      </c>
    </row>
    <row r="697">
      <c r="A697" t="inlineStr">
        <is>
          <t>Incusol Inc</t>
        </is>
      </c>
      <c r="B697" t="inlineStr">
        <is>
          <t>Technical Project Manager -- AI Governance</t>
        </is>
      </c>
      <c r="C697" t="inlineStr">
        <is>
          <t>Applied (auto-submission via Simplify)</t>
        </is>
      </c>
      <c r="D697" t="inlineStr">
        <is>
          <t>LinkedIn (Simplify auto-apply, reconciled 2026-09-06)</t>
        </is>
      </c>
      <c r="E697" t="inlineStr">
        <is>
          <t>2026-09-06</t>
        </is>
      </c>
      <c r="F697" t="inlineStr">
        <is>
          <t>2026-09-06</t>
        </is>
      </c>
      <c r="G697" t="inlineStr">
        <is>
          <t>LinkedIn job tracker status: Applied 1w ago; location: Boston, NY (Hybrid)</t>
        </is>
      </c>
    </row>
    <row r="698">
      <c r="A698" t="inlineStr">
        <is>
          <t>NULLSQUARE</t>
        </is>
      </c>
      <c r="B698" t="inlineStr">
        <is>
          <t>Security Professional</t>
        </is>
      </c>
      <c r="C698" t="inlineStr">
        <is>
          <t>Applied (auto-submission via Simplify)</t>
        </is>
      </c>
      <c r="D698" t="inlineStr">
        <is>
          <t>LinkedIn (Simplify auto-apply, reconciled 2026-09-06)</t>
        </is>
      </c>
      <c r="E698" t="inlineStr">
        <is>
          <t>2026-09-06</t>
        </is>
      </c>
      <c r="F698" t="inlineStr">
        <is>
          <t>2026-09-06</t>
        </is>
      </c>
      <c r="G698" t="inlineStr">
        <is>
          <t>LinkedIn job tracker status: Applied 1w ago; location: Texas, United States (On-site)</t>
        </is>
      </c>
    </row>
    <row r="699">
      <c r="A699" t="inlineStr">
        <is>
          <t>Cherokee Federal</t>
        </is>
      </c>
      <c r="B699" t="inlineStr">
        <is>
          <t>Assessment Lead</t>
        </is>
      </c>
      <c r="C699" t="inlineStr">
        <is>
          <t>Applied (auto-submission via Simplify)</t>
        </is>
      </c>
      <c r="D699" t="inlineStr">
        <is>
          <t>LinkedIn (Simplify auto-apply, reconciled 2026-09-06)</t>
        </is>
      </c>
      <c r="E699" t="inlineStr">
        <is>
          <t>2026-09-06</t>
        </is>
      </c>
      <c r="F699" t="inlineStr">
        <is>
          <t>2026-09-06</t>
        </is>
      </c>
      <c r="G699" t="inlineStr">
        <is>
          <t>LinkedIn job tracker status: Applied 1w ago; location: Washington, DC (On-site)</t>
        </is>
      </c>
    </row>
    <row r="700">
      <c r="A700" t="inlineStr">
        <is>
          <t>MetroStar Systems, Inc.</t>
        </is>
      </c>
      <c r="B700" t="inlineStr">
        <is>
          <t>Principal Systems Architect - Enterprise AI (6706)</t>
        </is>
      </c>
      <c r="C700" t="inlineStr">
        <is>
          <t>Applied (auto-submission via Simplify)</t>
        </is>
      </c>
      <c r="D700" t="inlineStr">
        <is>
          <t>LinkedIn (Simplify auto-apply, reconciled 2026-09-06)</t>
        </is>
      </c>
      <c r="E700" t="inlineStr">
        <is>
          <t>2026-09-06</t>
        </is>
      </c>
      <c r="F700" t="inlineStr">
        <is>
          <t>2026-09-06</t>
        </is>
      </c>
      <c r="G700" t="inlineStr">
        <is>
          <t>LinkedIn job tracker status: Applied 1w ago; location: Washington, DC (Hybrid)</t>
        </is>
      </c>
    </row>
    <row r="701">
      <c r="A701" t="inlineStr">
        <is>
          <t>RCT Systems</t>
        </is>
      </c>
      <c r="B701" t="inlineStr">
        <is>
          <t>System Integrator</t>
        </is>
      </c>
      <c r="C701" t="inlineStr">
        <is>
          <t>Applied (auto-submission via Simplify)</t>
        </is>
      </c>
      <c r="D701" t="inlineStr">
        <is>
          <t>LinkedIn (Simplify auto-apply, reconciled 2026-09-06)</t>
        </is>
      </c>
      <c r="E701" t="inlineStr">
        <is>
          <t>2026-09-06</t>
        </is>
      </c>
      <c r="F701" t="inlineStr">
        <is>
          <t>2026-09-06</t>
        </is>
      </c>
      <c r="G701" t="inlineStr">
        <is>
          <t>LinkedIn job tracker status: Applied 1w ago; location: Reston, VA (On-site)</t>
        </is>
      </c>
    </row>
    <row r="702">
      <c r="A702" t="inlineStr">
        <is>
          <t>Software Guidance &amp; Assistance, Inc.</t>
        </is>
      </c>
      <c r="B702" t="inlineStr">
        <is>
          <t>Software EOL Program Manager</t>
        </is>
      </c>
      <c r="C702" t="inlineStr">
        <is>
          <t>Applied (auto-submission via Simplify)</t>
        </is>
      </c>
      <c r="D702" t="inlineStr">
        <is>
          <t>LinkedIn (Simplify auto-apply, reconciled 2026-09-06)</t>
        </is>
      </c>
      <c r="E702" t="inlineStr">
        <is>
          <t>2026-09-06</t>
        </is>
      </c>
      <c r="F702" t="inlineStr">
        <is>
          <t>2026-09-06</t>
        </is>
      </c>
      <c r="G702" t="inlineStr">
        <is>
          <t>LinkedIn job tracker status: Applied 1w ago; location: Dallas, TX (On-site)</t>
        </is>
      </c>
    </row>
    <row r="703">
      <c r="A703" t="inlineStr">
        <is>
          <t>Ventures Unlimited Inc</t>
        </is>
      </c>
      <c r="B703" t="inlineStr">
        <is>
          <t>PKI Security Engineer</t>
        </is>
      </c>
      <c r="C703" t="inlineStr">
        <is>
          <t>Applied (auto-submission via Simplify)</t>
        </is>
      </c>
      <c r="D703" t="inlineStr">
        <is>
          <t>LinkedIn (Simplify auto-apply, reconciled 2026-09-06)</t>
        </is>
      </c>
      <c r="E703" t="inlineStr">
        <is>
          <t>2026-09-06</t>
        </is>
      </c>
      <c r="F703" t="inlineStr">
        <is>
          <t>2026-09-06</t>
        </is>
      </c>
      <c r="G703" t="inlineStr">
        <is>
          <t>LinkedIn job tracker status: Applied 1w ago; location: Atlanta, GA (On-site)</t>
        </is>
      </c>
    </row>
    <row r="704">
      <c r="A704" t="inlineStr">
        <is>
          <t>Fulcrum Technology Solutions</t>
        </is>
      </c>
      <c r="B704" t="inlineStr">
        <is>
          <t>Data Security Architect</t>
        </is>
      </c>
      <c r="C704" t="inlineStr">
        <is>
          <t>Applied (auto-submission via Simplify)</t>
        </is>
      </c>
      <c r="D704" t="inlineStr">
        <is>
          <t>LinkedIn (Simplify auto-apply, reconciled 2026-09-06)</t>
        </is>
      </c>
      <c r="E704" t="inlineStr">
        <is>
          <t>2026-09-06</t>
        </is>
      </c>
      <c r="F704" t="inlineStr">
        <is>
          <t>2026-09-06</t>
        </is>
      </c>
      <c r="G704" t="inlineStr">
        <is>
          <t>LinkedIn job tracker status: Applied 1w ago; location: Texas, United States (Remote)</t>
        </is>
      </c>
    </row>
    <row r="705">
      <c r="A705" t="inlineStr">
        <is>
          <t>Phoenix Cyber</t>
        </is>
      </c>
      <c r="B705" t="inlineStr">
        <is>
          <t>Cybersecurity Engineer [JOB ID 20260828]</t>
        </is>
      </c>
      <c r="C705" t="inlineStr">
        <is>
          <t>Applied (auto-submission via Simplify)</t>
        </is>
      </c>
      <c r="D705" t="inlineStr">
        <is>
          <t>LinkedIn (Simplify auto-apply, reconciled 2026-09-06)</t>
        </is>
      </c>
      <c r="E705" t="inlineStr">
        <is>
          <t>2026-09-06</t>
        </is>
      </c>
      <c r="F705" t="inlineStr">
        <is>
          <t>2026-09-06</t>
        </is>
      </c>
      <c r="G705" t="inlineStr">
        <is>
          <t>LinkedIn job tracker status: Applied 1w ago; location: Washington, DC (On-site)</t>
        </is>
      </c>
    </row>
    <row r="706">
      <c r="A706" t="inlineStr">
        <is>
          <t>Cherokee Federal</t>
        </is>
      </c>
      <c r="B706" t="inlineStr">
        <is>
          <t>SOC Manager</t>
        </is>
      </c>
      <c r="C706" t="inlineStr">
        <is>
          <t>Applied (auto-submission via Simplify)</t>
        </is>
      </c>
      <c r="D706" t="inlineStr">
        <is>
          <t>LinkedIn (Simplify auto-apply, reconciled 2026-09-06)</t>
        </is>
      </c>
      <c r="E706" t="inlineStr">
        <is>
          <t>2026-09-06</t>
        </is>
      </c>
      <c r="F706" t="inlineStr">
        <is>
          <t>2026-09-06</t>
        </is>
      </c>
      <c r="G706" t="inlineStr">
        <is>
          <t>LinkedIn job tracker status: Applied 1w ago; location: Washington, DC (On-site)</t>
        </is>
      </c>
    </row>
    <row r="707">
      <c r="A707" t="inlineStr">
        <is>
          <t>L3Harris Technologies</t>
        </is>
      </c>
      <c r="B707" t="inlineStr">
        <is>
          <t>Manager, Information Security Systems Engineering</t>
        </is>
      </c>
      <c r="C707" t="inlineStr">
        <is>
          <t>Applied (auto-submission via Simplify)</t>
        </is>
      </c>
      <c r="D707" t="inlineStr">
        <is>
          <t>LinkedIn (Simplify auto-apply, reconciled 2026-09-06)</t>
        </is>
      </c>
      <c r="E707" t="inlineStr">
        <is>
          <t>2026-09-06</t>
        </is>
      </c>
      <c r="F707" t="inlineStr">
        <is>
          <t>2026-09-06</t>
        </is>
      </c>
      <c r="G707" t="inlineStr">
        <is>
          <t>LinkedIn job tracker status: Applied 1w ago; location: Waco, TX (On-site)</t>
        </is>
      </c>
    </row>
    <row r="708">
      <c r="A708" t="inlineStr">
        <is>
          <t>Kerry Search Partners</t>
        </is>
      </c>
      <c r="B708" t="inlineStr">
        <is>
          <t>Information Technology Security Manager</t>
        </is>
      </c>
      <c r="C708" t="inlineStr">
        <is>
          <t>Applied (auto-submission via Simplify)</t>
        </is>
      </c>
      <c r="D708" t="inlineStr">
        <is>
          <t>LinkedIn (Simplify auto-apply, reconciled 2026-09-06)</t>
        </is>
      </c>
      <c r="E708" t="inlineStr">
        <is>
          <t>2026-09-06</t>
        </is>
      </c>
      <c r="F708" t="inlineStr">
        <is>
          <t>2026-09-06</t>
        </is>
      </c>
      <c r="G708" t="inlineStr">
        <is>
          <t>LinkedIn job tracker status: Applied 1w ago; location: Detroit Metropolitan Area (Hybrid)</t>
        </is>
      </c>
    </row>
    <row r="709">
      <c r="A709" t="inlineStr">
        <is>
          <t>C&amp;G Consulting Services, Inc</t>
        </is>
      </c>
      <c r="B709" t="inlineStr">
        <is>
          <t>Information Technology Security Manager</t>
        </is>
      </c>
      <c r="C709" t="inlineStr">
        <is>
          <t>Applied (auto-submission via Simplify)</t>
        </is>
      </c>
      <c r="D709" t="inlineStr">
        <is>
          <t>LinkedIn (Simplify auto-apply, reconciled 2026-09-06)</t>
        </is>
      </c>
      <c r="E709" t="inlineStr">
        <is>
          <t>2026-09-06</t>
        </is>
      </c>
      <c r="F709" t="inlineStr">
        <is>
          <t>2026-09-06</t>
        </is>
      </c>
      <c r="G709" t="inlineStr">
        <is>
          <t>LinkedIn job tracker status: Applied 1w ago; location: New Jersey, United States (Hybrid)</t>
        </is>
      </c>
    </row>
    <row r="710">
      <c r="A710" t="inlineStr">
        <is>
          <t>Ascendo Resources</t>
        </is>
      </c>
      <c r="B710" t="inlineStr">
        <is>
          <t>Compliance &amp; Enterprise Security Manager</t>
        </is>
      </c>
      <c r="C710" t="inlineStr">
        <is>
          <t>Applied (auto-submission via Simplify)</t>
        </is>
      </c>
      <c r="D710" t="inlineStr">
        <is>
          <t>LinkedIn (Simplify auto-apply, reconciled 2026-09-06)</t>
        </is>
      </c>
      <c r="E710" t="inlineStr">
        <is>
          <t>2026-09-06</t>
        </is>
      </c>
      <c r="F710" t="inlineStr">
        <is>
          <t>2026-09-06</t>
        </is>
      </c>
      <c r="G710" t="inlineStr">
        <is>
          <t>LinkedIn job tracker status: Applied 1w ago; location: Houston, TX (On-site)</t>
        </is>
      </c>
    </row>
    <row r="711">
      <c r="A711" t="inlineStr">
        <is>
          <t>Tandym Group</t>
        </is>
      </c>
      <c r="B711" t="inlineStr">
        <is>
          <t>IT Security Manager</t>
        </is>
      </c>
      <c r="C711" t="inlineStr">
        <is>
          <t>Applied (auto-submission via Simplify)</t>
        </is>
      </c>
      <c r="D711" t="inlineStr">
        <is>
          <t>LinkedIn (Simplify auto-apply, reconciled 2026-09-06)</t>
        </is>
      </c>
      <c r="E711" t="inlineStr">
        <is>
          <t>2026-09-06</t>
        </is>
      </c>
      <c r="F711" t="inlineStr">
        <is>
          <t>2026-09-06</t>
        </is>
      </c>
      <c r="G711" t="inlineStr">
        <is>
          <t>LinkedIn job tracker status: Applied 1w ago; location: Plainsboro, NJ (Hybrid)</t>
        </is>
      </c>
    </row>
    <row r="712">
      <c r="A712" t="inlineStr">
        <is>
          <t>Canvas</t>
        </is>
      </c>
      <c r="B712" t="inlineStr">
        <is>
          <t>Information System Security Officer/Manager</t>
        </is>
      </c>
      <c r="C712" t="inlineStr">
        <is>
          <t>Applied (auto-submission via Simplify)</t>
        </is>
      </c>
      <c r="D712" t="inlineStr">
        <is>
          <t>LinkedIn (Simplify auto-apply, reconciled 2026-09-06)</t>
        </is>
      </c>
      <c r="E712" t="inlineStr">
        <is>
          <t>2026-09-06</t>
        </is>
      </c>
      <c r="F712" t="inlineStr">
        <is>
          <t>2026-09-06</t>
        </is>
      </c>
      <c r="G712" t="inlineStr">
        <is>
          <t>LinkedIn job tracker status: Applied 1w ago; location: Eglin Air Force Base, FL</t>
        </is>
      </c>
    </row>
    <row r="713">
      <c r="A713" t="inlineStr">
        <is>
          <t>eNGINE</t>
        </is>
      </c>
      <c r="B713" t="inlineStr">
        <is>
          <t>Information Security Manager</t>
        </is>
      </c>
      <c r="C713" t="inlineStr">
        <is>
          <t>Applied (auto-submission via Simplify)</t>
        </is>
      </c>
      <c r="D713" t="inlineStr">
        <is>
          <t>LinkedIn (Simplify auto-apply, reconciled 2026-09-06)</t>
        </is>
      </c>
      <c r="E713" t="inlineStr">
        <is>
          <t>2026-09-06</t>
        </is>
      </c>
      <c r="F713" t="inlineStr">
        <is>
          <t>2026-09-06</t>
        </is>
      </c>
      <c r="G713" t="inlineStr">
        <is>
          <t>LinkedIn job tracker status: Applied 1w ago; location: Greater Pittsburgh Region (Hybrid)</t>
        </is>
      </c>
    </row>
    <row r="714">
      <c r="A714" t="inlineStr">
        <is>
          <t>The Horizon Group</t>
        </is>
      </c>
      <c r="B714" t="inlineStr">
        <is>
          <t>Information Security Manager</t>
        </is>
      </c>
      <c r="C714" t="inlineStr">
        <is>
          <t>Applied (auto-submission via Simplify)</t>
        </is>
      </c>
      <c r="D714" t="inlineStr">
        <is>
          <t>LinkedIn (Simplify auto-apply, reconciled 2026-09-06)</t>
        </is>
      </c>
      <c r="E714" t="inlineStr">
        <is>
          <t>2026-09-06</t>
        </is>
      </c>
      <c r="F714" t="inlineStr">
        <is>
          <t>2026-09-06</t>
        </is>
      </c>
      <c r="G714" t="inlineStr">
        <is>
          <t>LinkedIn job tracker status: Applied 1w ago; location: New York City Metropolitan Area (Hybrid)</t>
        </is>
      </c>
    </row>
    <row r="715">
      <c r="A715" t="inlineStr">
        <is>
          <t>Kforce Inc</t>
        </is>
      </c>
      <c r="B715" t="inlineStr">
        <is>
          <t>Information Security Admin</t>
        </is>
      </c>
      <c r="C715" t="inlineStr">
        <is>
          <t>Applied (auto-submission via Simplify)</t>
        </is>
      </c>
      <c r="D715" t="inlineStr">
        <is>
          <t>LinkedIn (Simplify auto-apply, reconciled 2026-09-06)</t>
        </is>
      </c>
      <c r="E715" t="inlineStr">
        <is>
          <t>2026-09-06</t>
        </is>
      </c>
      <c r="F715" t="inlineStr">
        <is>
          <t>2026-09-06</t>
        </is>
      </c>
      <c r="G715" t="inlineStr">
        <is>
          <t>LinkedIn job tracker status: Applied 1w ago; location: Scottsdale, AZ (On-site)</t>
        </is>
      </c>
    </row>
    <row r="716">
      <c r="A716" t="inlineStr">
        <is>
          <t>Assura, Inc.</t>
        </is>
      </c>
      <c r="B716" t="inlineStr">
        <is>
          <t>Information Security Officer</t>
        </is>
      </c>
      <c r="C716" t="inlineStr">
        <is>
          <t>Applied (auto-submission via Simplify)</t>
        </is>
      </c>
      <c r="D716" t="inlineStr">
        <is>
          <t>LinkedIn (Simplify auto-apply, reconciled 2026-09-06)</t>
        </is>
      </c>
      <c r="E716" t="inlineStr">
        <is>
          <t>2026-09-06</t>
        </is>
      </c>
      <c r="F716" t="inlineStr">
        <is>
          <t>2026-09-06</t>
        </is>
      </c>
      <c r="G716" t="inlineStr">
        <is>
          <t>LinkedIn job tracker status: Applied 1w ago; location: Richmond, VA (Remote)</t>
        </is>
      </c>
    </row>
    <row r="717">
      <c r="A717" t="inlineStr">
        <is>
          <t>Venteon</t>
        </is>
      </c>
      <c r="B717" t="inlineStr">
        <is>
          <t>IT Analyst</t>
        </is>
      </c>
      <c r="C717" t="inlineStr">
        <is>
          <t>Applied (auto-submission via Simplify)</t>
        </is>
      </c>
      <c r="D717" t="inlineStr">
        <is>
          <t>LinkedIn (Simplify auto-apply, reconciled 2026-09-06)</t>
        </is>
      </c>
      <c r="E717" t="inlineStr">
        <is>
          <t>2026-09-06</t>
        </is>
      </c>
      <c r="F717" t="inlineStr">
        <is>
          <t>2026-09-06</t>
        </is>
      </c>
      <c r="G717" t="inlineStr">
        <is>
          <t>LinkedIn job tracker status: Applied 1w ago; location: Normal, IL (On-site)</t>
        </is>
      </c>
    </row>
    <row r="718">
      <c r="A718" t="inlineStr">
        <is>
          <t>Agility Partners</t>
        </is>
      </c>
      <c r="B718" t="inlineStr">
        <is>
          <t>AI Information Security Engineer</t>
        </is>
      </c>
      <c r="C718" t="inlineStr">
        <is>
          <t>Applied (auto-submission via Simplify)</t>
        </is>
      </c>
      <c r="D718" t="inlineStr">
        <is>
          <t>LinkedIn (Simplify auto-apply, reconciled 2026-09-06)</t>
        </is>
      </c>
      <c r="E718" t="inlineStr">
        <is>
          <t>2026-09-06</t>
        </is>
      </c>
      <c r="F718" t="inlineStr">
        <is>
          <t>2026-09-06</t>
        </is>
      </c>
      <c r="G718" t="inlineStr">
        <is>
          <t>LinkedIn job tracker status: Applied 1w ago; location: Cincinnati Metropolitan Area (Remote)</t>
        </is>
      </c>
    </row>
    <row r="719">
      <c r="A719" t="inlineStr">
        <is>
          <t>Root Medical Complex</t>
        </is>
      </c>
      <c r="B719" t="inlineStr">
        <is>
          <t>Risk Management Analyst</t>
        </is>
      </c>
      <c r="C719" t="inlineStr">
        <is>
          <t>Applied (auto-submission via Simplify)</t>
        </is>
      </c>
      <c r="D719" t="inlineStr">
        <is>
          <t>LinkedIn (Simplify auto-apply, reconciled 2026-09-06)</t>
        </is>
      </c>
      <c r="E719" t="inlineStr">
        <is>
          <t>2026-09-06</t>
        </is>
      </c>
      <c r="F719" t="inlineStr">
        <is>
          <t>2026-09-06</t>
        </is>
      </c>
      <c r="G719" t="inlineStr">
        <is>
          <t>LinkedIn job tracker status: Applied 1w ago; location: New York, United States (Remote)</t>
        </is>
      </c>
    </row>
    <row r="720">
      <c r="A720" t="inlineStr">
        <is>
          <t>Ferrovias</t>
        </is>
      </c>
      <c r="B720" t="inlineStr">
        <is>
          <t>Information Technology Specialist</t>
        </is>
      </c>
      <c r="C720" t="inlineStr">
        <is>
          <t>Applied (auto-submission via Simplify)</t>
        </is>
      </c>
      <c r="D720" t="inlineStr">
        <is>
          <t>LinkedIn (Simplify auto-apply, reconciled 2026-09-06)</t>
        </is>
      </c>
      <c r="E720" t="inlineStr">
        <is>
          <t>2026-09-06</t>
        </is>
      </c>
      <c r="F720" t="inlineStr">
        <is>
          <t>2026-09-06</t>
        </is>
      </c>
      <c r="G720" t="inlineStr">
        <is>
          <t>LinkedIn job tracker status: Applied 1w ago; location: Philadelphia, PA (Remote)</t>
        </is>
      </c>
    </row>
    <row r="721">
      <c r="A721" t="inlineStr">
        <is>
          <t>Better Future Solutions, Inc</t>
        </is>
      </c>
      <c r="B721" t="inlineStr">
        <is>
          <t>AI Security SME</t>
        </is>
      </c>
      <c r="C721" t="inlineStr">
        <is>
          <t>Applied (auto-submission via Simplify)</t>
        </is>
      </c>
      <c r="D721" t="inlineStr">
        <is>
          <t>LinkedIn (Simplify auto-apply, reconciled 2026-09-06)</t>
        </is>
      </c>
      <c r="E721" t="inlineStr">
        <is>
          <t>2026-09-06</t>
        </is>
      </c>
      <c r="F721" t="inlineStr">
        <is>
          <t>2026-09-06</t>
        </is>
      </c>
      <c r="G721" t="inlineStr">
        <is>
          <t>LinkedIn job tracker status: Applied 1w ago; location: United States (Remote)</t>
        </is>
      </c>
    </row>
    <row r="722">
      <c r="A722" t="inlineStr">
        <is>
          <t>Larson Maddox</t>
        </is>
      </c>
      <c r="B722" t="inlineStr">
        <is>
          <t>Compliance Analyst</t>
        </is>
      </c>
      <c r="C722" t="inlineStr">
        <is>
          <t>Applied (auto-submission via Simplify)</t>
        </is>
      </c>
      <c r="D722" t="inlineStr">
        <is>
          <t>LinkedIn (Simplify auto-apply, reconciled 2026-09-06)</t>
        </is>
      </c>
      <c r="E722" t="inlineStr">
        <is>
          <t>2026-09-06</t>
        </is>
      </c>
      <c r="F722" t="inlineStr">
        <is>
          <t>2026-09-06</t>
        </is>
      </c>
      <c r="G722" t="inlineStr">
        <is>
          <t>LinkedIn job tracker status: Applied 1w ago; location: Chicago, IL</t>
        </is>
      </c>
    </row>
    <row r="723">
      <c r="A723" t="inlineStr">
        <is>
          <t>Healthcare Shares</t>
        </is>
      </c>
      <c r="B723" t="inlineStr">
        <is>
          <t>Cybersecurity Law</t>
        </is>
      </c>
      <c r="C723" t="inlineStr">
        <is>
          <t>Applied (auto-submission via Simplify)</t>
        </is>
      </c>
      <c r="D723" t="inlineStr">
        <is>
          <t>LinkedIn (Simplify auto-apply, reconciled 2026-09-06)</t>
        </is>
      </c>
      <c r="E723" t="inlineStr">
        <is>
          <t>2026-09-06</t>
        </is>
      </c>
      <c r="F723" t="inlineStr">
        <is>
          <t>2026-09-06</t>
        </is>
      </c>
      <c r="G723" t="inlineStr">
        <is>
          <t>LinkedIn job tracker status: Applied 1w ago; location: United States (Remote)</t>
        </is>
      </c>
    </row>
    <row r="724">
      <c r="A724" t="inlineStr">
        <is>
          <t>Baxter International</t>
        </is>
      </c>
      <c r="B724" t="inlineStr">
        <is>
          <t>Principal Engineer, Cybersecurity</t>
        </is>
      </c>
      <c r="C724" t="inlineStr">
        <is>
          <t>Applied (auto-submission via Simplify)</t>
        </is>
      </c>
      <c r="D724" t="inlineStr">
        <is>
          <t>LinkedIn (Simplify auto-apply, reconciled 2026-09-06)</t>
        </is>
      </c>
      <c r="E724" t="inlineStr">
        <is>
          <t>2026-09-06</t>
        </is>
      </c>
      <c r="F724" t="inlineStr">
        <is>
          <t>2026-09-06</t>
        </is>
      </c>
      <c r="G724" t="inlineStr">
        <is>
          <t>LinkedIn job tracker status: Applied 1w ago; location: Skaneateles Falls, NY</t>
        </is>
      </c>
    </row>
    <row r="725">
      <c r="A725" t="inlineStr">
        <is>
          <t>Physicians Revenue Group, Inc.</t>
        </is>
      </c>
      <c r="B725" t="inlineStr">
        <is>
          <t>Safety, Privacy &amp; Compliance Officer (HIPAA / GRC)</t>
        </is>
      </c>
      <c r="C725" t="inlineStr">
        <is>
          <t>Applied (auto-submission via Simplify)</t>
        </is>
      </c>
      <c r="D725" t="inlineStr">
        <is>
          <t>LinkedIn (Simplify auto-apply, reconciled 2026-09-06)</t>
        </is>
      </c>
      <c r="E725" t="inlineStr">
        <is>
          <t>2026-09-06</t>
        </is>
      </c>
      <c r="F725" t="inlineStr">
        <is>
          <t>2026-09-06</t>
        </is>
      </c>
      <c r="G725" t="inlineStr">
        <is>
          <t>LinkedIn job tracker status: Applied 7mo ago; location: Greater Chicago Area (On-site)</t>
        </is>
      </c>
    </row>
    <row r="726">
      <c r="A726" t="inlineStr">
        <is>
          <t>Fusion Life Sciences Technologies LLC</t>
        </is>
      </c>
      <c r="B726" t="inlineStr">
        <is>
          <t>Cyber Security Engineer</t>
        </is>
      </c>
      <c r="C726" t="inlineStr">
        <is>
          <t>Applied (auto-submission via Simplify)</t>
        </is>
      </c>
      <c r="D726" t="inlineStr">
        <is>
          <t>LinkedIn (Simplify auto-apply, reconciled 2026-09-06)</t>
        </is>
      </c>
      <c r="E726" t="inlineStr">
        <is>
          <t>2026-09-06</t>
        </is>
      </c>
      <c r="F726" t="inlineStr">
        <is>
          <t>2026-09-06</t>
        </is>
      </c>
      <c r="G726" t="inlineStr">
        <is>
          <t>LinkedIn job tracker status: Applied 7mo ago; location: Cleveland, OH (On-site)</t>
        </is>
      </c>
    </row>
    <row r="727">
      <c r="A727" t="inlineStr">
        <is>
          <t>PRI Technology</t>
        </is>
      </c>
      <c r="B727" t="inlineStr">
        <is>
          <t>Cyber Security Architect</t>
        </is>
      </c>
      <c r="C727" t="inlineStr">
        <is>
          <t>Applied (auto-submission via Simplify)</t>
        </is>
      </c>
      <c r="D727" t="inlineStr">
        <is>
          <t>LinkedIn (Simplify auto-apply, reconciled 2026-09-06)</t>
        </is>
      </c>
      <c r="E727" t="inlineStr">
        <is>
          <t>2026-09-06</t>
        </is>
      </c>
      <c r="F727" t="inlineStr">
        <is>
          <t>2026-09-06</t>
        </is>
      </c>
      <c r="G727" t="inlineStr">
        <is>
          <t>LinkedIn job tracker status: Applied 7mo ago; location: New York, NY (Hybrid)</t>
        </is>
      </c>
    </row>
    <row r="728">
      <c r="A728" t="inlineStr">
        <is>
          <t>COGENT DATA SOLUTIONS LLC</t>
        </is>
      </c>
      <c r="B728" t="inlineStr">
        <is>
          <t>Network Security Engineer</t>
        </is>
      </c>
      <c r="C728" t="inlineStr">
        <is>
          <t>Applied (auto-submission via Simplify)</t>
        </is>
      </c>
      <c r="D728" t="inlineStr">
        <is>
          <t>LinkedIn (Simplify auto-apply, reconciled 2026-09-06)</t>
        </is>
      </c>
      <c r="E728" t="inlineStr">
        <is>
          <t>2026-09-06</t>
        </is>
      </c>
      <c r="F728" t="inlineStr">
        <is>
          <t>2026-09-06</t>
        </is>
      </c>
      <c r="G728" t="inlineStr">
        <is>
          <t>LinkedIn job tracker status: Applied 7mo ago; location: Annapolis, MD (Hybrid)</t>
        </is>
      </c>
    </row>
    <row r="729">
      <c r="A729" t="inlineStr">
        <is>
          <t>GlobalPoint</t>
        </is>
      </c>
      <c r="B729" t="inlineStr">
        <is>
          <t>IT Security Architect</t>
        </is>
      </c>
      <c r="C729" t="inlineStr">
        <is>
          <t>Applied (auto-submission via Simplify)</t>
        </is>
      </c>
      <c r="D729" t="inlineStr">
        <is>
          <t>LinkedIn (Simplify auto-apply, reconciled 2026-09-06)</t>
        </is>
      </c>
      <c r="E729" t="inlineStr">
        <is>
          <t>2026-09-06</t>
        </is>
      </c>
      <c r="F729" t="inlineStr">
        <is>
          <t>2026-09-06</t>
        </is>
      </c>
      <c r="G729" t="inlineStr">
        <is>
          <t>LinkedIn job tracker status: Applied 7mo ago; location: United States (Remote)</t>
        </is>
      </c>
    </row>
    <row r="730">
      <c r="A730" t="inlineStr">
        <is>
          <t>Rhythm Pharmaceuticals Inc.</t>
        </is>
      </c>
      <c r="B730" t="inlineStr">
        <is>
          <t>Senior Cybersecurity Specialist</t>
        </is>
      </c>
      <c r="C730" t="inlineStr">
        <is>
          <t>Applied (auto-submission via Simplify)</t>
        </is>
      </c>
      <c r="D730" t="inlineStr">
        <is>
          <t>LinkedIn (Simplify auto-apply, reconciled 2026-09-06)</t>
        </is>
      </c>
      <c r="E730" t="inlineStr">
        <is>
          <t>2026-09-06</t>
        </is>
      </c>
      <c r="F730" t="inlineStr">
        <is>
          <t>2026-09-06</t>
        </is>
      </c>
      <c r="G730" t="inlineStr">
        <is>
          <t>LinkedIn job tracker status: Applied 7mo ago; location: Boston, MA (On-site)</t>
        </is>
      </c>
    </row>
    <row r="731">
      <c r="A731" t="inlineStr">
        <is>
          <t>JMD Technologies Inc.</t>
        </is>
      </c>
      <c r="B731" t="inlineStr">
        <is>
          <t>Cybersecurity Engineer</t>
        </is>
      </c>
      <c r="C731" t="inlineStr">
        <is>
          <t>Applied (auto-submission via Simplify)</t>
        </is>
      </c>
      <c r="D731" t="inlineStr">
        <is>
          <t>LinkedIn (Simplify auto-apply, reconciled 2026-09-06)</t>
        </is>
      </c>
      <c r="E731" t="inlineStr">
        <is>
          <t>2026-09-06</t>
        </is>
      </c>
      <c r="F731" t="inlineStr">
        <is>
          <t>2026-09-06</t>
        </is>
      </c>
      <c r="G731" t="inlineStr">
        <is>
          <t>LinkedIn job tracker status: Applied 7mo ago; location: McLean, VA (Hybrid)</t>
        </is>
      </c>
    </row>
    <row r="732">
      <c r="A732" t="inlineStr">
        <is>
          <t>YASH Technologies</t>
        </is>
      </c>
      <c r="B732" t="inlineStr">
        <is>
          <t>Cyber Security Specialist</t>
        </is>
      </c>
      <c r="C732" t="inlineStr">
        <is>
          <t>Applied (auto-submission via Simplify)</t>
        </is>
      </c>
      <c r="D732" t="inlineStr">
        <is>
          <t>LinkedIn (Simplify auto-apply, reconciled 2026-09-06)</t>
        </is>
      </c>
      <c r="E732" t="inlineStr">
        <is>
          <t>2026-09-06</t>
        </is>
      </c>
      <c r="F732" t="inlineStr">
        <is>
          <t>2026-09-06</t>
        </is>
      </c>
      <c r="G732" t="inlineStr">
        <is>
          <t>LinkedIn job tracker status: Applied 7mo ago; location: Chicago, IL (On-site)</t>
        </is>
      </c>
    </row>
    <row r="733">
      <c r="A733" t="inlineStr">
        <is>
          <t>Eventim USA</t>
        </is>
      </c>
      <c r="B733" t="inlineStr">
        <is>
          <t>Security Analyst</t>
        </is>
      </c>
      <c r="C733" t="inlineStr">
        <is>
          <t>Applied (auto-submission via Simplify)</t>
        </is>
      </c>
      <c r="D733" t="inlineStr">
        <is>
          <t>LinkedIn (Simplify auto-apply, reconciled 2026-09-06)</t>
        </is>
      </c>
      <c r="E733" t="inlineStr">
        <is>
          <t>2026-09-06</t>
        </is>
      </c>
      <c r="F733" t="inlineStr">
        <is>
          <t>2026-09-06</t>
        </is>
      </c>
      <c r="G733" t="inlineStr">
        <is>
          <t>LinkedIn job tracker status: Applied 7mo ago; location: Los Angeles Metropolitan Area (Hybrid)</t>
        </is>
      </c>
    </row>
    <row r="734">
      <c r="A734" t="inlineStr">
        <is>
          <t>Enterprise Solutions Inc.</t>
        </is>
      </c>
      <c r="B734" t="inlineStr">
        <is>
          <t>Forensic Analyst</t>
        </is>
      </c>
      <c r="C734" t="inlineStr">
        <is>
          <t>Applied (auto-submission via Simplify)</t>
        </is>
      </c>
      <c r="D734" t="inlineStr">
        <is>
          <t>LinkedIn (Simplify auto-apply, reconciled 2026-09-06)</t>
        </is>
      </c>
      <c r="E734" t="inlineStr">
        <is>
          <t>2026-09-06</t>
        </is>
      </c>
      <c r="F734" t="inlineStr">
        <is>
          <t>2026-09-06</t>
        </is>
      </c>
      <c r="G734" t="inlineStr">
        <is>
          <t>LinkedIn job tracker status: Applied 7mo ago; location: Ocoee, FL (On-site)</t>
        </is>
      </c>
    </row>
    <row r="735">
      <c r="A735" t="inlineStr">
        <is>
          <t>Titan Technologies</t>
        </is>
      </c>
      <c r="B735" t="inlineStr">
        <is>
          <t>Network Administrator</t>
        </is>
      </c>
      <c r="C735" t="inlineStr">
        <is>
          <t>Applied (auto-submission via Simplify)</t>
        </is>
      </c>
      <c r="D735" t="inlineStr">
        <is>
          <t>LinkedIn (Simplify auto-apply, reconciled 2026-09-06)</t>
        </is>
      </c>
      <c r="E735" t="inlineStr">
        <is>
          <t>2026-09-06</t>
        </is>
      </c>
      <c r="F735" t="inlineStr">
        <is>
          <t>2026-09-06</t>
        </is>
      </c>
      <c r="G735" t="inlineStr">
        <is>
          <t>LinkedIn job tracker status: Applied 7mo ago; location: Tampa, FL (On-site)</t>
        </is>
      </c>
    </row>
    <row r="736">
      <c r="A736" t="inlineStr">
        <is>
          <t>Foxconn Industrial Internet - FII</t>
        </is>
      </c>
      <c r="B736" t="inlineStr">
        <is>
          <t>IT Network Administrator</t>
        </is>
      </c>
      <c r="C736" t="inlineStr">
        <is>
          <t>Applied (auto-submission via Simplify)</t>
        </is>
      </c>
      <c r="D736" t="inlineStr">
        <is>
          <t>LinkedIn (Simplify auto-apply, reconciled 2026-09-06)</t>
        </is>
      </c>
      <c r="E736" t="inlineStr">
        <is>
          <t>2026-09-06</t>
        </is>
      </c>
      <c r="F736" t="inlineStr">
        <is>
          <t>2026-09-06</t>
        </is>
      </c>
      <c r="G736" t="inlineStr">
        <is>
          <t>LinkedIn job tracker status: Applied 7mo ago; location: Houston, TX (On-site)</t>
        </is>
      </c>
    </row>
    <row r="737">
      <c r="A737" t="inlineStr">
        <is>
          <t>Tech Army, LLC</t>
        </is>
      </c>
      <c r="B737" t="inlineStr">
        <is>
          <t>Security Analyst (IT Access Management / IAM Support)</t>
        </is>
      </c>
      <c r="C737" t="inlineStr">
        <is>
          <t>Applied (auto-submission via Simplify)</t>
        </is>
      </c>
      <c r="D737" t="inlineStr">
        <is>
          <t>LinkedIn (Simplify auto-apply, reconciled 2026-09-06)</t>
        </is>
      </c>
      <c r="E737" t="inlineStr">
        <is>
          <t>2026-09-06</t>
        </is>
      </c>
      <c r="F737" t="inlineStr">
        <is>
          <t>2026-09-06</t>
        </is>
      </c>
      <c r="G737" t="inlineStr">
        <is>
          <t>LinkedIn job tracker status: Applied 7mo ago; location: Ocoee, FL (On-site)</t>
        </is>
      </c>
    </row>
    <row r="738">
      <c r="A738" t="inlineStr">
        <is>
          <t>Avacend Inc</t>
        </is>
      </c>
      <c r="B738" t="inlineStr">
        <is>
          <t>Cyber Security Engineer</t>
        </is>
      </c>
      <c r="C738" t="inlineStr">
        <is>
          <t>Applied (auto-submission via Simplify)</t>
        </is>
      </c>
      <c r="D738" t="inlineStr">
        <is>
          <t>LinkedIn (Simplify auto-apply, reconciled 2026-09-06)</t>
        </is>
      </c>
      <c r="E738" t="inlineStr">
        <is>
          <t>2026-09-06</t>
        </is>
      </c>
      <c r="F738" t="inlineStr">
        <is>
          <t>2026-09-06</t>
        </is>
      </c>
      <c r="G738" t="inlineStr">
        <is>
          <t>LinkedIn job tracker status: Applied 7mo ago; location: Charlotte, NC (Hybrid)</t>
        </is>
      </c>
    </row>
    <row r="739">
      <c r="A739" t="inlineStr">
        <is>
          <t>LanceSoft, Inc.</t>
        </is>
      </c>
      <c r="B739" t="inlineStr">
        <is>
          <t>Forensics &amp; Fraud Analyst</t>
        </is>
      </c>
      <c r="C739" t="inlineStr">
        <is>
          <t>Applied (auto-submission via Simplify)</t>
        </is>
      </c>
      <c r="D739" t="inlineStr">
        <is>
          <t>LinkedIn (Simplify auto-apply, reconciled 2026-09-06)</t>
        </is>
      </c>
      <c r="E739" t="inlineStr">
        <is>
          <t>2026-09-06</t>
        </is>
      </c>
      <c r="F739" t="inlineStr">
        <is>
          <t>2026-09-06</t>
        </is>
      </c>
      <c r="G739" t="inlineStr">
        <is>
          <t>LinkedIn job tracker status: Applied 7mo ago; location: Ocoee, FL (On-site)</t>
        </is>
      </c>
    </row>
    <row r="740">
      <c r="A740" t="inlineStr">
        <is>
          <t>Private Communications Corp.</t>
        </is>
      </c>
      <c r="B740" t="inlineStr">
        <is>
          <t>Cybersecurity Channel Consultant - US Market</t>
        </is>
      </c>
      <c r="C740" t="inlineStr">
        <is>
          <t>Applied (auto-submission via Simplify)</t>
        </is>
      </c>
      <c r="D740" t="inlineStr">
        <is>
          <t>LinkedIn (Simplify auto-apply, reconciled 2026-09-06)</t>
        </is>
      </c>
      <c r="E740" t="inlineStr">
        <is>
          <t>2026-09-06</t>
        </is>
      </c>
      <c r="F740" t="inlineStr">
        <is>
          <t>2026-09-06</t>
        </is>
      </c>
      <c r="G740" t="inlineStr">
        <is>
          <t>LinkedIn job tracker status: Applied 7mo ago; location: New York, NY (On-site)</t>
        </is>
      </c>
    </row>
    <row r="741">
      <c r="A741" t="inlineStr">
        <is>
          <t>Iron Valley Supply</t>
        </is>
      </c>
      <c r="B741" t="inlineStr">
        <is>
          <t>Network Administrator</t>
        </is>
      </c>
      <c r="C741" t="inlineStr">
        <is>
          <t>Applied (auto-submission via Simplify)</t>
        </is>
      </c>
      <c r="D741" t="inlineStr">
        <is>
          <t>LinkedIn (Simplify auto-apply, reconciled 2026-09-06)</t>
        </is>
      </c>
      <c r="E741" t="inlineStr">
        <is>
          <t>2026-09-06</t>
        </is>
      </c>
      <c r="F741" t="inlineStr">
        <is>
          <t>2026-09-06</t>
        </is>
      </c>
      <c r="G741" t="inlineStr">
        <is>
          <t>LinkedIn job tracker status: Applied 7mo ago; location: Birmingham, AL (On-site)</t>
        </is>
      </c>
    </row>
    <row r="742">
      <c r="A742" t="inlineStr">
        <is>
          <t>VRK IT Vision Inc.</t>
        </is>
      </c>
      <c r="B742" t="inlineStr">
        <is>
          <t>Network Security Specialist/Forensic Analyst</t>
        </is>
      </c>
      <c r="C742" t="inlineStr">
        <is>
          <t>Applied (auto-submission via Simplify)</t>
        </is>
      </c>
      <c r="D742" t="inlineStr">
        <is>
          <t>LinkedIn (Simplify auto-apply, reconciled 2026-09-06)</t>
        </is>
      </c>
      <c r="E742" t="inlineStr">
        <is>
          <t>2026-09-06</t>
        </is>
      </c>
      <c r="F742" t="inlineStr">
        <is>
          <t>2026-09-06</t>
        </is>
      </c>
      <c r="G742" t="inlineStr">
        <is>
          <t>LinkedIn job tracker status: Applied 7mo ago; location: Ocoee, FL (On-site)</t>
        </is>
      </c>
    </row>
    <row r="743">
      <c r="A743" t="inlineStr">
        <is>
          <t>Seneca Resources</t>
        </is>
      </c>
      <c r="B743" t="inlineStr">
        <is>
          <t>Cyber Security Analyst</t>
        </is>
      </c>
      <c r="C743" t="inlineStr">
        <is>
          <t>Applied (auto-submission via Simplify)</t>
        </is>
      </c>
      <c r="D743" t="inlineStr">
        <is>
          <t>LinkedIn (Simplify auto-apply, reconciled 2026-09-06)</t>
        </is>
      </c>
      <c r="E743" t="inlineStr">
        <is>
          <t>2026-09-06</t>
        </is>
      </c>
      <c r="F743" t="inlineStr">
        <is>
          <t>2026-09-06</t>
        </is>
      </c>
      <c r="G743" t="inlineStr">
        <is>
          <t>LinkedIn job tracker status: Applied 7mo ago; location: Ocoee, FL (On-site)</t>
        </is>
      </c>
    </row>
    <row r="744">
      <c r="A744" t="inlineStr">
        <is>
          <t>Tier4 Group</t>
        </is>
      </c>
      <c r="B744" t="inlineStr">
        <is>
          <t>Software Engineer (IAM / Identity) 4840</t>
        </is>
      </c>
      <c r="C744" t="inlineStr">
        <is>
          <t>Applied (auto-submission via Simplify)</t>
        </is>
      </c>
      <c r="D744" t="inlineStr">
        <is>
          <t>LinkedIn (Simplify auto-apply, reconciled 2026-09-06)</t>
        </is>
      </c>
      <c r="E744" t="inlineStr">
        <is>
          <t>2026-09-06</t>
        </is>
      </c>
      <c r="F744" t="inlineStr">
        <is>
          <t>2026-09-06</t>
        </is>
      </c>
      <c r="G744" t="inlineStr">
        <is>
          <t>LinkedIn job tracker status: Applied 7mo ago; location: Franklin, WI (Hybrid)</t>
        </is>
      </c>
    </row>
    <row r="745">
      <c r="A745" t="inlineStr">
        <is>
          <t>Stanley 1913</t>
        </is>
      </c>
      <c r="B745" t="inlineStr">
        <is>
          <t>IT GRC Privacy Analyst</t>
        </is>
      </c>
      <c r="C745" t="inlineStr">
        <is>
          <t>Applied (auto-submission via Simplify)</t>
        </is>
      </c>
      <c r="D745" t="inlineStr">
        <is>
          <t>LinkedIn (Simplify auto-apply, reconciled 2026-09-06)</t>
        </is>
      </c>
      <c r="E745" t="inlineStr">
        <is>
          <t>2026-09-06</t>
        </is>
      </c>
      <c r="F745" t="inlineStr">
        <is>
          <t>2026-09-06</t>
        </is>
      </c>
      <c r="G745" t="inlineStr">
        <is>
          <t>LinkedIn job tracker status: Applied 7mo ago; location: Seattle, WA</t>
        </is>
      </c>
    </row>
    <row r="746">
      <c r="A746" t="inlineStr">
        <is>
          <t>Aegis Worldwide</t>
        </is>
      </c>
      <c r="B746" t="inlineStr">
        <is>
          <t>Security Operations Center Analyst</t>
        </is>
      </c>
      <c r="C746" t="inlineStr">
        <is>
          <t>Applied (auto-submission via Simplify)</t>
        </is>
      </c>
      <c r="D746" t="inlineStr">
        <is>
          <t>LinkedIn (Simplify auto-apply, reconciled 2026-09-06)</t>
        </is>
      </c>
      <c r="E746" t="inlineStr">
        <is>
          <t>2026-09-06</t>
        </is>
      </c>
      <c r="F746" t="inlineStr">
        <is>
          <t>2026-09-06</t>
        </is>
      </c>
      <c r="G746" t="inlineStr">
        <is>
          <t>LinkedIn job tracker status: Applied 7mo ago; location: Greater Savannah Area (On-site)</t>
        </is>
      </c>
    </row>
    <row r="747">
      <c r="A747" t="inlineStr">
        <is>
          <t>(unlisted employer)</t>
        </is>
      </c>
      <c r="B747" t="inlineStr">
        <is>
          <t>IT Auditor</t>
        </is>
      </c>
      <c r="C747" t="inlineStr">
        <is>
          <t>Applied (auto-submission via Simplify)</t>
        </is>
      </c>
      <c r="D747" t="inlineStr">
        <is>
          <t>LinkedIn (Simplify auto-apply, reconciled 2026-09-06)</t>
        </is>
      </c>
      <c r="E747" t="inlineStr">
        <is>
          <t>2026-09-06</t>
        </is>
      </c>
      <c r="F747" t="inlineStr">
        <is>
          <t>2026-09-06</t>
        </is>
      </c>
      <c r="G747" t="inlineStr">
        <is>
          <t>LinkedIn job tracker status: Applied 7mo ago; location: Bentonville, AR (On-site)</t>
        </is>
      </c>
    </row>
    <row r="748">
      <c r="A748" t="inlineStr">
        <is>
          <t>NXT Robotics Corp</t>
        </is>
      </c>
      <c r="B748" t="inlineStr">
        <is>
          <t>Iot Security Expert</t>
        </is>
      </c>
      <c r="C748" t="inlineStr">
        <is>
          <t>Applied (auto-submission via Simplify)</t>
        </is>
      </c>
      <c r="D748" t="inlineStr">
        <is>
          <t>LinkedIn (Simplify auto-apply, reconciled 2026-09-06)</t>
        </is>
      </c>
      <c r="E748" t="inlineStr">
        <is>
          <t>2026-09-06</t>
        </is>
      </c>
      <c r="F748" t="inlineStr">
        <is>
          <t>2026-09-06</t>
        </is>
      </c>
      <c r="G748" t="inlineStr">
        <is>
          <t>LinkedIn job tracker status: Applied 7mo ago; location: Nashville, TN (Hybrid)</t>
        </is>
      </c>
    </row>
    <row r="749">
      <c r="A749" t="inlineStr">
        <is>
          <t>VARITE INC</t>
        </is>
      </c>
      <c r="B749" t="inlineStr">
        <is>
          <t>Information Security Analyst</t>
        </is>
      </c>
      <c r="C749" t="inlineStr">
        <is>
          <t>Applied (auto-submission via Simplify)</t>
        </is>
      </c>
      <c r="D749" t="inlineStr">
        <is>
          <t>LinkedIn (Simplify auto-apply, reconciled 2026-09-06)</t>
        </is>
      </c>
      <c r="E749" t="inlineStr">
        <is>
          <t>2026-09-06</t>
        </is>
      </c>
      <c r="F749" t="inlineStr">
        <is>
          <t>2026-09-06</t>
        </is>
      </c>
      <c r="G749" t="inlineStr">
        <is>
          <t>LinkedIn job tracker status: Applied 7mo ago; location: City of Industry, CA (On-site)</t>
        </is>
      </c>
    </row>
    <row r="750">
      <c r="A750" t="inlineStr">
        <is>
          <t>Engtal</t>
        </is>
      </c>
      <c r="B750" t="inlineStr">
        <is>
          <t>Information Technology Specialist</t>
        </is>
      </c>
      <c r="C750" t="inlineStr">
        <is>
          <t>Applied (auto-submission via Simplify)</t>
        </is>
      </c>
      <c r="D750" t="inlineStr">
        <is>
          <t>LinkedIn (Simplify auto-apply, reconciled 2026-09-06)</t>
        </is>
      </c>
      <c r="E750" t="inlineStr">
        <is>
          <t>2026-09-06</t>
        </is>
      </c>
      <c r="F750" t="inlineStr">
        <is>
          <t>2026-09-06</t>
        </is>
      </c>
      <c r="G750" t="inlineStr">
        <is>
          <t>LinkedIn job tracker status: Applied 7mo ago; location: Willowbrook, IL (On-site)</t>
        </is>
      </c>
    </row>
    <row r="751">
      <c r="A751" t="inlineStr">
        <is>
          <t>Insight Global</t>
        </is>
      </c>
      <c r="B751" t="inlineStr">
        <is>
          <t>Information Security Administrator</t>
        </is>
      </c>
      <c r="C751" t="inlineStr">
        <is>
          <t>Applied (auto-submission via Simplify)</t>
        </is>
      </c>
      <c r="D751" t="inlineStr">
        <is>
          <t>LinkedIn (Simplify auto-apply, reconciled 2026-09-06)</t>
        </is>
      </c>
      <c r="E751" t="inlineStr">
        <is>
          <t>2026-09-06</t>
        </is>
      </c>
      <c r="F751" t="inlineStr">
        <is>
          <t>2026-09-06</t>
        </is>
      </c>
      <c r="G751" t="inlineStr">
        <is>
          <t>LinkedIn job tracker status: Applied 7mo ago; location: Marietta, GA (On-site)</t>
        </is>
      </c>
    </row>
    <row r="752">
      <c r="A752" t="inlineStr">
        <is>
          <t>Volta Oil Company, Inc.</t>
        </is>
      </c>
      <c r="B752" t="inlineStr">
        <is>
          <t>Facilities &amp; IT Systems Administrator</t>
        </is>
      </c>
      <c r="C752" t="inlineStr">
        <is>
          <t>Applied (auto-submission via Simplify)</t>
        </is>
      </c>
      <c r="D752" t="inlineStr">
        <is>
          <t>LinkedIn (Simplify auto-apply, reconciled 2026-09-06)</t>
        </is>
      </c>
      <c r="E752" t="inlineStr">
        <is>
          <t>2026-09-06</t>
        </is>
      </c>
      <c r="F752" t="inlineStr">
        <is>
          <t>2026-09-06</t>
        </is>
      </c>
      <c r="G752" t="inlineStr">
        <is>
          <t>LinkedIn job tracker status: Applied 8mo ago; location: Plymouth, MA (On-site)</t>
        </is>
      </c>
    </row>
    <row r="753">
      <c r="A753" t="inlineStr">
        <is>
          <t>SRM Digital LLC</t>
        </is>
      </c>
      <c r="B753" t="inlineStr">
        <is>
          <t>Information Technology Specialist</t>
        </is>
      </c>
      <c r="C753" t="inlineStr">
        <is>
          <t>Applied (auto-submission via Simplify)</t>
        </is>
      </c>
      <c r="D753" t="inlineStr">
        <is>
          <t>LinkedIn (Simplify auto-apply, reconciled 2026-09-06)</t>
        </is>
      </c>
      <c r="E753" t="inlineStr">
        <is>
          <t>2026-09-06</t>
        </is>
      </c>
      <c r="F753" t="inlineStr">
        <is>
          <t>2026-09-06</t>
        </is>
      </c>
      <c r="G753" t="inlineStr">
        <is>
          <t>LinkedIn job tracker status: Applied 8mo ago; location: Plano, TX (On-site)</t>
        </is>
      </c>
    </row>
    <row r="754">
      <c r="A754" t="inlineStr">
        <is>
          <t>Dexian</t>
        </is>
      </c>
      <c r="B754" t="inlineStr">
        <is>
          <t>Desktop Support</t>
        </is>
      </c>
      <c r="C754" t="inlineStr">
        <is>
          <t>Applied (auto-submission via Simplify)</t>
        </is>
      </c>
      <c r="D754" t="inlineStr">
        <is>
          <t>LinkedIn (Simplify auto-apply, reconciled 2026-09-06)</t>
        </is>
      </c>
      <c r="E754" t="inlineStr">
        <is>
          <t>2026-09-06</t>
        </is>
      </c>
      <c r="F754" t="inlineStr">
        <is>
          <t>2026-09-06</t>
        </is>
      </c>
      <c r="G754" t="inlineStr">
        <is>
          <t>LinkedIn job tracker status: Applied 8mo ago; location: Tampa, FL (Hybrid)</t>
        </is>
      </c>
    </row>
    <row r="755">
      <c r="A755" t="inlineStr">
        <is>
          <t>Robert Half</t>
        </is>
      </c>
      <c r="B755" t="inlineStr">
        <is>
          <t>Information Security Administrator</t>
        </is>
      </c>
      <c r="C755" t="inlineStr">
        <is>
          <t>Applied (auto-submission via Simplify)</t>
        </is>
      </c>
      <c r="D755" t="inlineStr">
        <is>
          <t>LinkedIn (Simplify auto-apply, reconciled 2026-09-06)</t>
        </is>
      </c>
      <c r="E755" t="inlineStr">
        <is>
          <t>2026-09-06</t>
        </is>
      </c>
      <c r="F755" t="inlineStr">
        <is>
          <t>2026-09-06</t>
        </is>
      </c>
      <c r="G755" t="inlineStr">
        <is>
          <t>LinkedIn job tracker status: Applied 8mo ago; location: Schaumburg, IL (On-site)</t>
        </is>
      </c>
    </row>
    <row r="756">
      <c r="A756" t="inlineStr">
        <is>
          <t>Fieldwork</t>
        </is>
      </c>
      <c r="B756" t="inlineStr">
        <is>
          <t>Information Technology Support Technician</t>
        </is>
      </c>
      <c r="C756" t="inlineStr">
        <is>
          <t>Applied (auto-submission via Simplify)</t>
        </is>
      </c>
      <c r="D756" t="inlineStr">
        <is>
          <t>LinkedIn (Simplify auto-apply, reconciled 2026-09-06)</t>
        </is>
      </c>
      <c r="E756" t="inlineStr">
        <is>
          <t>2026-09-06</t>
        </is>
      </c>
      <c r="F756" t="inlineStr">
        <is>
          <t>2026-09-06</t>
        </is>
      </c>
      <c r="G756" t="inlineStr">
        <is>
          <t>LinkedIn job tracker status: Applied 8mo ago; location: Chicago, IL (On-site)</t>
        </is>
      </c>
    </row>
    <row r="757">
      <c r="A757" t="inlineStr">
        <is>
          <t>Experian</t>
        </is>
      </c>
      <c r="B757" t="inlineStr">
        <is>
          <t>Lead Cyber Defense Analyst - Remote</t>
        </is>
      </c>
      <c r="C757" t="inlineStr">
        <is>
          <t>Applied (auto-submission via Simplify)</t>
        </is>
      </c>
      <c r="D757" t="inlineStr">
        <is>
          <t>LinkedIn (Simplify auto-apply, reconciled 2026-09-06)</t>
        </is>
      </c>
      <c r="E757" t="inlineStr">
        <is>
          <t>2026-09-06</t>
        </is>
      </c>
      <c r="F757" t="inlineStr">
        <is>
          <t>2026-09-06</t>
        </is>
      </c>
      <c r="G757" t="inlineStr">
        <is>
          <t>LinkedIn job tracker status: Applied 8mo ago; location: United States (Remote)</t>
        </is>
      </c>
    </row>
    <row r="758">
      <c r="A758" t="inlineStr">
        <is>
          <t>Adams &amp; Martin Group</t>
        </is>
      </c>
      <c r="B758" t="inlineStr">
        <is>
          <t>Systems Administrator I</t>
        </is>
      </c>
      <c r="C758" t="inlineStr">
        <is>
          <t>Applied (auto-submission via Simplify)</t>
        </is>
      </c>
      <c r="D758" t="inlineStr">
        <is>
          <t>LinkedIn (Simplify auto-apply, reconciled 2026-09-06)</t>
        </is>
      </c>
      <c r="E758" t="inlineStr">
        <is>
          <t>2026-09-06</t>
        </is>
      </c>
      <c r="F758" t="inlineStr">
        <is>
          <t>2026-09-06</t>
        </is>
      </c>
      <c r="G758" t="inlineStr">
        <is>
          <t>LinkedIn job tracker status: Applied 8mo ago; location: Atlanta, GA (On-site)</t>
        </is>
      </c>
    </row>
    <row r="759">
      <c r="A759" t="inlineStr">
        <is>
          <t>[cognition]</t>
        </is>
      </c>
      <c r="B759" t="inlineStr">
        <is>
          <t>IT &amp; Security Operations</t>
        </is>
      </c>
      <c r="C759" t="inlineStr">
        <is>
          <t>Applied (auto-submission via Simplify)</t>
        </is>
      </c>
      <c r="D759" t="inlineStr">
        <is>
          <t>LinkedIn (Simplify auto-apply, reconciled 2026-09-06)</t>
        </is>
      </c>
      <c r="E759" t="inlineStr">
        <is>
          <t>2026-09-06</t>
        </is>
      </c>
      <c r="F759" t="inlineStr">
        <is>
          <t>2026-09-06</t>
        </is>
      </c>
      <c r="G759" t="inlineStr">
        <is>
          <t>LinkedIn job tracker status: Applied 8mo ago; location: Jacksonville, FL (On-site)</t>
        </is>
      </c>
    </row>
    <row r="760">
      <c r="A760" t="inlineStr">
        <is>
          <t>Averity</t>
        </is>
      </c>
      <c r="B760" t="inlineStr">
        <is>
          <t>Cyber Security Specialist ($100-$120 Per Hour)</t>
        </is>
      </c>
      <c r="C760" t="inlineStr">
        <is>
          <t>Applied (auto-submission via Simplify)</t>
        </is>
      </c>
      <c r="D760" t="inlineStr">
        <is>
          <t>LinkedIn (Simplify auto-apply, reconciled 2026-09-06)</t>
        </is>
      </c>
      <c r="E760" t="inlineStr">
        <is>
          <t>2026-09-06</t>
        </is>
      </c>
      <c r="F760" t="inlineStr">
        <is>
          <t>2026-09-06</t>
        </is>
      </c>
      <c r="G760" t="inlineStr">
        <is>
          <t>LinkedIn job tracker status: Applied 8mo ago; location: New York City Metropolitan Area (Hybrid)</t>
        </is>
      </c>
    </row>
    <row r="761">
      <c r="A761" t="inlineStr">
        <is>
          <t>Quantam</t>
        </is>
      </c>
      <c r="B761" t="inlineStr">
        <is>
          <t>Cybersecurity Specialist</t>
        </is>
      </c>
      <c r="C761" t="inlineStr">
        <is>
          <t>Applied (auto-submission via Simplify)</t>
        </is>
      </c>
      <c r="D761" t="inlineStr">
        <is>
          <t>LinkedIn (Simplify auto-apply, reconciled 2026-09-06)</t>
        </is>
      </c>
      <c r="E761" t="inlineStr">
        <is>
          <t>2026-09-06</t>
        </is>
      </c>
      <c r="F761" t="inlineStr">
        <is>
          <t>2026-09-06</t>
        </is>
      </c>
      <c r="G761" t="inlineStr">
        <is>
          <t>LinkedIn job tracker status: Applied 8mo ago; location: Frankfort, KY (Hybrid)</t>
        </is>
      </c>
    </row>
    <row r="762">
      <c r="A762" t="inlineStr">
        <is>
          <t>Nesco Resource</t>
        </is>
      </c>
      <c r="B762" t="inlineStr">
        <is>
          <t>Cyber Security Analyst - DLP Specialist</t>
        </is>
      </c>
      <c r="C762" t="inlineStr">
        <is>
          <t>Applied (auto-submission via Simplify)</t>
        </is>
      </c>
      <c r="D762" t="inlineStr">
        <is>
          <t>LinkedIn (Simplify auto-apply, reconciled 2026-09-06)</t>
        </is>
      </c>
      <c r="E762" t="inlineStr">
        <is>
          <t>2026-09-06</t>
        </is>
      </c>
      <c r="F762" t="inlineStr">
        <is>
          <t>2026-09-06</t>
        </is>
      </c>
      <c r="G762" t="inlineStr">
        <is>
          <t>LinkedIn job tracker status: Applied 8mo ago; location: Atlanta, GA (Hybrid)</t>
        </is>
      </c>
    </row>
    <row r="763">
      <c r="A763" t="inlineStr">
        <is>
          <t>Belcan</t>
        </is>
      </c>
      <c r="B763" t="inlineStr">
        <is>
          <t>Information Security Analyst</t>
        </is>
      </c>
      <c r="C763" t="inlineStr">
        <is>
          <t>Applied (auto-submission via Simplify)</t>
        </is>
      </c>
      <c r="D763" t="inlineStr">
        <is>
          <t>LinkedIn (Simplify auto-apply, reconciled 2026-09-06)</t>
        </is>
      </c>
      <c r="E763" t="inlineStr">
        <is>
          <t>2026-09-06</t>
        </is>
      </c>
      <c r="F763" t="inlineStr">
        <is>
          <t>2026-09-06</t>
        </is>
      </c>
      <c r="G763" t="inlineStr">
        <is>
          <t>LinkedIn job tracker status: Applied 8mo ago; location: Mason, OH (Hybrid)</t>
        </is>
      </c>
    </row>
    <row r="764">
      <c r="A764" t="inlineStr">
        <is>
          <t>LanceSoft, Inc.</t>
        </is>
      </c>
      <c r="B764" t="inlineStr">
        <is>
          <t>Cybersecurity Data Specialist</t>
        </is>
      </c>
      <c r="C764" t="inlineStr">
        <is>
          <t>Applied (auto-submission via Simplify)</t>
        </is>
      </c>
      <c r="D764" t="inlineStr">
        <is>
          <t>LinkedIn (Simplify auto-apply, reconciled 2026-09-06)</t>
        </is>
      </c>
      <c r="E764" t="inlineStr">
        <is>
          <t>2026-09-06</t>
        </is>
      </c>
      <c r="F764" t="inlineStr">
        <is>
          <t>2026-09-06</t>
        </is>
      </c>
      <c r="G764" t="inlineStr">
        <is>
          <t>LinkedIn job tracker status: Applied 8mo ago; location: Arlington, VA (On-site)</t>
        </is>
      </c>
    </row>
    <row r="765">
      <c r="A765" t="inlineStr">
        <is>
          <t>Eccalon, LLC</t>
        </is>
      </c>
      <c r="B765" t="inlineStr">
        <is>
          <t>Technical Cyber Advisor</t>
        </is>
      </c>
      <c r="C765" t="inlineStr">
        <is>
          <t>Applied (auto-submission via Simplify)</t>
        </is>
      </c>
      <c r="D765" t="inlineStr">
        <is>
          <t>LinkedIn (Simplify auto-apply, reconciled 2026-09-06)</t>
        </is>
      </c>
      <c r="E765" t="inlineStr">
        <is>
          <t>2026-09-06</t>
        </is>
      </c>
      <c r="F765" t="inlineStr">
        <is>
          <t>2026-09-06</t>
        </is>
      </c>
      <c r="G765" t="inlineStr">
        <is>
          <t>LinkedIn job tracker status: Applied 8mo ago; location: Hanover, MD (Hybrid)</t>
        </is>
      </c>
    </row>
    <row r="766">
      <c r="A766" t="inlineStr">
        <is>
          <t>AI Cybersecurity Company</t>
        </is>
      </c>
      <c r="B766" t="inlineStr">
        <is>
          <t>Security Researcher</t>
        </is>
      </c>
      <c r="C766" t="inlineStr">
        <is>
          <t>Applied (auto-submission via Simplify)</t>
        </is>
      </c>
      <c r="D766" t="inlineStr">
        <is>
          <t>LinkedIn (Simplify auto-apply, reconciled 2026-09-06)</t>
        </is>
      </c>
      <c r="E766" t="inlineStr">
        <is>
          <t>2026-09-06</t>
        </is>
      </c>
      <c r="F766" t="inlineStr">
        <is>
          <t>2026-09-06</t>
        </is>
      </c>
      <c r="G766" t="inlineStr">
        <is>
          <t>LinkedIn job tracker status: Applied 8mo ago; location: San Francisco Bay Area (Hybrid)</t>
        </is>
      </c>
    </row>
    <row r="767">
      <c r="A767" t="inlineStr">
        <is>
          <t>Infotrend Inc</t>
        </is>
      </c>
      <c r="B767" t="inlineStr">
        <is>
          <t>Digital Forensic Examiner</t>
        </is>
      </c>
      <c r="C767" t="inlineStr">
        <is>
          <t>Applied (auto-submission via Simplify)</t>
        </is>
      </c>
      <c r="D767" t="inlineStr">
        <is>
          <t>LinkedIn (Simplify auto-apply, reconciled 2026-09-06)</t>
        </is>
      </c>
      <c r="E767" t="inlineStr">
        <is>
          <t>2026-09-06</t>
        </is>
      </c>
      <c r="F767" t="inlineStr">
        <is>
          <t>2026-09-06</t>
        </is>
      </c>
      <c r="G767" t="inlineStr">
        <is>
          <t>LinkedIn job tracker status: Applied 8mo ago; location: Northern Virginia, VA (On-site)</t>
        </is>
      </c>
    </row>
    <row r="768">
      <c r="A768" t="inlineStr">
        <is>
          <t>Fractional CISO</t>
        </is>
      </c>
      <c r="B768" t="inlineStr">
        <is>
          <t>GRC Cybersecurity Analyst</t>
        </is>
      </c>
      <c r="C768" t="inlineStr">
        <is>
          <t>Applied (auto-submission via Simplify)</t>
        </is>
      </c>
      <c r="D768" t="inlineStr">
        <is>
          <t>LinkedIn (Simplify auto-apply, reconciled 2026-09-06)</t>
        </is>
      </c>
      <c r="E768" t="inlineStr">
        <is>
          <t>2026-09-06</t>
        </is>
      </c>
      <c r="F768" t="inlineStr">
        <is>
          <t>2026-09-06</t>
        </is>
      </c>
      <c r="G768" t="inlineStr">
        <is>
          <t>LinkedIn job tracker status: Applied 8mo ago; location: Auburndale, MA (Hybrid)</t>
        </is>
      </c>
    </row>
    <row r="769">
      <c r="A769" t="inlineStr">
        <is>
          <t>Acro Service Corp</t>
        </is>
      </c>
      <c r="B769" t="inlineStr">
        <is>
          <t>Cybersecurity Analyst</t>
        </is>
      </c>
      <c r="C769" t="inlineStr">
        <is>
          <t>Applied (auto-submission via Simplify)</t>
        </is>
      </c>
      <c r="D769" t="inlineStr">
        <is>
          <t>LinkedIn (Simplify auto-apply, reconciled 2026-09-06)</t>
        </is>
      </c>
      <c r="E769" t="inlineStr">
        <is>
          <t>2026-09-06</t>
        </is>
      </c>
      <c r="F769" t="inlineStr">
        <is>
          <t>2026-09-06</t>
        </is>
      </c>
      <c r="G769" t="inlineStr">
        <is>
          <t>LinkedIn job tracker status: Applied 8mo ago; location: Lake Forest, IL (On-site)</t>
        </is>
      </c>
    </row>
    <row r="770">
      <c r="A770" t="inlineStr">
        <is>
          <t>Cleo Capital</t>
        </is>
      </c>
      <c r="B770" t="inlineStr">
        <is>
          <t>Cyber Security Consultant</t>
        </is>
      </c>
      <c r="C770" t="inlineStr">
        <is>
          <t>Applied (auto-submission via Simplify)</t>
        </is>
      </c>
      <c r="D770" t="inlineStr">
        <is>
          <t>LinkedIn (Simplify auto-apply, reconciled 2026-09-06)</t>
        </is>
      </c>
      <c r="E770" t="inlineStr">
        <is>
          <t>2026-09-06</t>
        </is>
      </c>
      <c r="F770" t="inlineStr">
        <is>
          <t>2026-09-06</t>
        </is>
      </c>
      <c r="G770" t="inlineStr">
        <is>
          <t>LinkedIn job tracker status: Applied 8mo ago; location: Estonia (Remote)</t>
        </is>
      </c>
    </row>
    <row r="771">
      <c r="A771" t="inlineStr">
        <is>
          <t>SoTalent</t>
        </is>
      </c>
      <c r="B771" t="inlineStr">
        <is>
          <t>Cyber Security Specialist</t>
        </is>
      </c>
      <c r="C771" t="inlineStr">
        <is>
          <t>Applied (auto-submission via Simplify)</t>
        </is>
      </c>
      <c r="D771" t="inlineStr">
        <is>
          <t>LinkedIn (Simplify auto-apply, reconciled 2026-09-06)</t>
        </is>
      </c>
      <c r="E771" t="inlineStr">
        <is>
          <t>2026-09-06</t>
        </is>
      </c>
      <c r="F771" t="inlineStr">
        <is>
          <t>2026-09-06</t>
        </is>
      </c>
      <c r="G771" t="inlineStr">
        <is>
          <t>LinkedIn job tracker status: Applied 8mo ago; location: Texas, United States (Remote)</t>
        </is>
      </c>
    </row>
    <row r="772">
      <c r="A772" t="inlineStr">
        <is>
          <t>Maestro Search</t>
        </is>
      </c>
      <c r="B772" t="inlineStr">
        <is>
          <t>CMMC Advisory Consultant - Remote</t>
        </is>
      </c>
      <c r="C772" t="inlineStr">
        <is>
          <t>Applied (auto-submission via Simplify)</t>
        </is>
      </c>
      <c r="D772" t="inlineStr">
        <is>
          <t>LinkedIn (Simplify auto-apply, reconciled 2026-09-06)</t>
        </is>
      </c>
      <c r="E772" t="inlineStr">
        <is>
          <t>2026-09-06</t>
        </is>
      </c>
      <c r="F772" t="inlineStr">
        <is>
          <t>2026-09-06</t>
        </is>
      </c>
      <c r="G772" t="inlineStr">
        <is>
          <t>LinkedIn job tracker status: Applied 8mo ago; location: United States (Remote)</t>
        </is>
      </c>
    </row>
    <row r="773">
      <c r="A773" t="inlineStr">
        <is>
          <t>OP</t>
        </is>
      </c>
      <c r="B773" t="inlineStr">
        <is>
          <t>Cyber Security Consultant</t>
        </is>
      </c>
      <c r="C773" t="inlineStr">
        <is>
          <t>Applied (auto-submission via Simplify)</t>
        </is>
      </c>
      <c r="D773" t="inlineStr">
        <is>
          <t>LinkedIn (Simplify auto-apply, reconciled 2026-09-06)</t>
        </is>
      </c>
      <c r="E773" t="inlineStr">
        <is>
          <t>2026-09-06</t>
        </is>
      </c>
      <c r="F773" t="inlineStr">
        <is>
          <t>2026-09-06</t>
        </is>
      </c>
      <c r="G773" t="inlineStr">
        <is>
          <t>LinkedIn job tracker status: Applied 8mo ago; location: Plano, TX (On-site)</t>
        </is>
      </c>
    </row>
    <row r="774">
      <c r="A774" t="inlineStr">
        <is>
          <t>PTR Global</t>
        </is>
      </c>
      <c r="B774" t="inlineStr">
        <is>
          <t>Information Security Engineer 3 - Contingent</t>
        </is>
      </c>
      <c r="C774" t="inlineStr">
        <is>
          <t>Applied (auto-submission via Simplify)</t>
        </is>
      </c>
      <c r="D774" t="inlineStr">
        <is>
          <t>LinkedIn (Simplify auto-apply, reconciled 2026-09-06)</t>
        </is>
      </c>
      <c r="E774" t="inlineStr">
        <is>
          <t>2026-09-06</t>
        </is>
      </c>
      <c r="F774" t="inlineStr">
        <is>
          <t>2026-09-06</t>
        </is>
      </c>
      <c r="G774" t="inlineStr">
        <is>
          <t>LinkedIn job tracker status: Applied 8mo ago; location: Chandler, AZ (On-site)</t>
        </is>
      </c>
    </row>
    <row r="775">
      <c r="A775" t="inlineStr">
        <is>
          <t>Pyramid Consulting, Inc</t>
        </is>
      </c>
      <c r="B775" t="inlineStr">
        <is>
          <t>Cybersecurity Lead Analyst</t>
        </is>
      </c>
      <c r="C775" t="inlineStr">
        <is>
          <t>Applied (auto-submission via Simplify)</t>
        </is>
      </c>
      <c r="D775" t="inlineStr">
        <is>
          <t>LinkedIn (Simplify auto-apply, reconciled 2026-09-06)</t>
        </is>
      </c>
      <c r="E775" t="inlineStr">
        <is>
          <t>2026-09-06</t>
        </is>
      </c>
      <c r="F775" t="inlineStr">
        <is>
          <t>2026-09-06</t>
        </is>
      </c>
      <c r="G775" t="inlineStr">
        <is>
          <t>LinkedIn job tracker status: Applied 8mo ago; location: Chicago, IL (Remote)</t>
        </is>
      </c>
    </row>
    <row r="776">
      <c r="A776" t="inlineStr">
        <is>
          <t>ECLARO</t>
        </is>
      </c>
      <c r="B776" t="inlineStr">
        <is>
          <t>Cyber Security Analyst</t>
        </is>
      </c>
      <c r="C776" t="inlineStr">
        <is>
          <t>Applied (auto-submission via Simplify)</t>
        </is>
      </c>
      <c r="D776" t="inlineStr">
        <is>
          <t>LinkedIn (Simplify auto-apply, reconciled 2026-09-06)</t>
        </is>
      </c>
      <c r="E776" t="inlineStr">
        <is>
          <t>2026-09-06</t>
        </is>
      </c>
      <c r="F776" t="inlineStr">
        <is>
          <t>2026-09-06</t>
        </is>
      </c>
      <c r="G776" t="inlineStr">
        <is>
          <t>LinkedIn job tracker status: Applied 9mo ago; location: Virginia Beach, VA (On-site)</t>
        </is>
      </c>
    </row>
    <row r="777">
      <c r="A777" t="inlineStr">
        <is>
          <t>JK Executive Strategies, LLC</t>
        </is>
      </c>
      <c r="B777" t="inlineStr">
        <is>
          <t>Information Technology Operations Manager</t>
        </is>
      </c>
      <c r="C777" t="inlineStr">
        <is>
          <t>Applied (auto-submission via Simplify)</t>
        </is>
      </c>
      <c r="D777" t="inlineStr">
        <is>
          <t>LinkedIn (Simplify auto-apply, reconciled 2026-09-06)</t>
        </is>
      </c>
      <c r="E777" t="inlineStr">
        <is>
          <t>2026-09-06</t>
        </is>
      </c>
      <c r="F777" t="inlineStr">
        <is>
          <t>2026-09-06</t>
        </is>
      </c>
      <c r="G777" t="inlineStr">
        <is>
          <t>LinkedIn job tracker status: Applied 9mo ago; location: Rochester, New York Metropolitan Area (On-site)</t>
        </is>
      </c>
    </row>
    <row r="778">
      <c r="A778" t="inlineStr">
        <is>
          <t>CommonBond Communities</t>
        </is>
      </c>
      <c r="B778" t="inlineStr">
        <is>
          <t>Director of Information Technology</t>
        </is>
      </c>
      <c r="C778" t="inlineStr">
        <is>
          <t>Applied (auto-submission via Simplify)</t>
        </is>
      </c>
      <c r="D778" t="inlineStr">
        <is>
          <t>LinkedIn (Simplify auto-apply, reconciled 2026-09-06)</t>
        </is>
      </c>
      <c r="E778" t="inlineStr">
        <is>
          <t>2026-09-06</t>
        </is>
      </c>
      <c r="F778" t="inlineStr">
        <is>
          <t>2026-09-06</t>
        </is>
      </c>
      <c r="G778" t="inlineStr">
        <is>
          <t>LinkedIn job tracker status: Applied 9mo ago; location: St Paul, MN (On-site)</t>
        </is>
      </c>
    </row>
    <row r="779">
      <c r="A779" t="inlineStr">
        <is>
          <t>Access Search, Inc.</t>
        </is>
      </c>
      <c r="B779" t="inlineStr">
        <is>
          <t>Cybersecurity Auditor</t>
        </is>
      </c>
      <c r="C779" t="inlineStr">
        <is>
          <t>Applied (auto-submission via Simplify)</t>
        </is>
      </c>
      <c r="D779" t="inlineStr">
        <is>
          <t>LinkedIn (Simplify auto-apply, reconciled 2026-09-06)</t>
        </is>
      </c>
      <c r="E779" t="inlineStr">
        <is>
          <t>2026-09-06</t>
        </is>
      </c>
      <c r="F779" t="inlineStr">
        <is>
          <t>2026-09-06</t>
        </is>
      </c>
      <c r="G779" t="inlineStr">
        <is>
          <t>LinkedIn job tracker status: Applied 9mo ago; location: Chicago, IL (On-site)</t>
        </is>
      </c>
    </row>
    <row r="780">
      <c r="A780" t="inlineStr">
        <is>
          <t>AppleOne Employment Services</t>
        </is>
      </c>
      <c r="B780" t="inlineStr">
        <is>
          <t>Cyber Security Specialist</t>
        </is>
      </c>
      <c r="C780" t="inlineStr">
        <is>
          <t>Applied (auto-submission via Simplify)</t>
        </is>
      </c>
      <c r="D780" t="inlineStr">
        <is>
          <t>LinkedIn (Simplify auto-apply, reconciled 2026-09-06)</t>
        </is>
      </c>
      <c r="E780" t="inlineStr">
        <is>
          <t>2026-09-06</t>
        </is>
      </c>
      <c r="F780" t="inlineStr">
        <is>
          <t>2026-09-06</t>
        </is>
      </c>
      <c r="G780" t="inlineStr">
        <is>
          <t>LinkedIn job tracker status: Applied 9mo ago; location: Buffalo, NY (On-site)</t>
        </is>
      </c>
    </row>
    <row r="781">
      <c r="A781" t="inlineStr">
        <is>
          <t>Scion Staffing</t>
        </is>
      </c>
      <c r="B781" t="inlineStr">
        <is>
          <t>IT Manager - Service Desk Support</t>
        </is>
      </c>
      <c r="C781" t="inlineStr">
        <is>
          <t>Applied (auto-submission via Simplify)</t>
        </is>
      </c>
      <c r="D781" t="inlineStr">
        <is>
          <t>LinkedIn (Simplify auto-apply, reconciled 2026-09-06)</t>
        </is>
      </c>
      <c r="E781" t="inlineStr">
        <is>
          <t>2026-09-06</t>
        </is>
      </c>
      <c r="F781" t="inlineStr">
        <is>
          <t>2026-09-06</t>
        </is>
      </c>
      <c r="G781" t="inlineStr">
        <is>
          <t>LinkedIn job tracker status: Applied 10mo ago; location: Hendersonville, TN (On-site)</t>
        </is>
      </c>
    </row>
    <row r="782">
      <c r="A782" t="inlineStr">
        <is>
          <t>ATC</t>
        </is>
      </c>
      <c r="B782" t="inlineStr">
        <is>
          <t>Security Analyst</t>
        </is>
      </c>
      <c r="C782" t="inlineStr">
        <is>
          <t>Applied (auto-submission via Simplify)</t>
        </is>
      </c>
      <c r="D782" t="inlineStr">
        <is>
          <t>LinkedIn (Simplify auto-apply, reconciled 2026-09-06)</t>
        </is>
      </c>
      <c r="E782" t="inlineStr">
        <is>
          <t>2026-09-06</t>
        </is>
      </c>
      <c r="F782" t="inlineStr">
        <is>
          <t>2026-09-06</t>
        </is>
      </c>
      <c r="G782" t="inlineStr">
        <is>
          <t>LinkedIn job tracker status: Applied 10mo ago; location: Madison, WI (Hybrid)</t>
        </is>
      </c>
    </row>
    <row r="783">
      <c r="A783" t="inlineStr">
        <is>
          <t>Maveris</t>
        </is>
      </c>
      <c r="B783" t="inlineStr">
        <is>
          <t>Cybersecurity Analyst - Tier 2</t>
        </is>
      </c>
      <c r="C783" t="inlineStr">
        <is>
          <t>Applied (auto-submission via Simplify)</t>
        </is>
      </c>
      <c r="D783" t="inlineStr">
        <is>
          <t>LinkedIn (Simplify auto-apply, reconciled 2026-09-06)</t>
        </is>
      </c>
      <c r="E783" t="inlineStr">
        <is>
          <t>2026-09-06</t>
        </is>
      </c>
      <c r="F783" t="inlineStr">
        <is>
          <t>2026-09-06</t>
        </is>
      </c>
      <c r="G783" t="inlineStr">
        <is>
          <t>LinkedIn job tracker status: Applied 10mo ago; location: Martinsburg, WV (On-site)</t>
        </is>
      </c>
    </row>
    <row r="784">
      <c r="A784" t="inlineStr">
        <is>
          <t>Smart IT Frame LLC</t>
        </is>
      </c>
      <c r="B784" t="inlineStr">
        <is>
          <t>Ping Identity SME</t>
        </is>
      </c>
      <c r="C784" t="inlineStr">
        <is>
          <t>Applied (auto-submission via Simplify)</t>
        </is>
      </c>
      <c r="D784" t="inlineStr">
        <is>
          <t>LinkedIn (Simplify auto-apply, reconciled 2026-09-06)</t>
        </is>
      </c>
      <c r="E784" t="inlineStr">
        <is>
          <t>2026-09-06</t>
        </is>
      </c>
      <c r="F784" t="inlineStr">
        <is>
          <t>2026-09-06</t>
        </is>
      </c>
      <c r="G784" t="inlineStr">
        <is>
          <t>LinkedIn job tracker status: Applied 10mo ago; location: Jersey City, NJ (On-site)</t>
        </is>
      </c>
    </row>
    <row r="785">
      <c r="A785" t="inlineStr">
        <is>
          <t>SnapDragon Associates, LLC</t>
        </is>
      </c>
      <c r="B785" t="inlineStr">
        <is>
          <t>Information Technology Manager</t>
        </is>
      </c>
      <c r="C785" t="inlineStr">
        <is>
          <t>Applied (auto-submission via Simplify)</t>
        </is>
      </c>
      <c r="D785" t="inlineStr">
        <is>
          <t>LinkedIn (Simplify auto-apply, reconciled 2026-09-06)</t>
        </is>
      </c>
      <c r="E785" t="inlineStr">
        <is>
          <t>2026-09-06</t>
        </is>
      </c>
      <c r="F785" t="inlineStr">
        <is>
          <t>2026-09-06</t>
        </is>
      </c>
      <c r="G785" t="inlineStr">
        <is>
          <t>LinkedIn job tracker status: Applied 10mo ago; location: Atlanta, GA (On-site)</t>
        </is>
      </c>
    </row>
    <row r="786">
      <c r="A786" t="inlineStr">
        <is>
          <t>Warren Averett Executive Search &amp; Recruiting</t>
        </is>
      </c>
      <c r="B786" t="inlineStr">
        <is>
          <t>Microsoft 365 Collaboration Administrator</t>
        </is>
      </c>
      <c r="C786" t="inlineStr">
        <is>
          <t>Applied (auto-submission via Simplify)</t>
        </is>
      </c>
      <c r="D786" t="inlineStr">
        <is>
          <t>LinkedIn (Simplify auto-apply, reconciled 2026-09-06)</t>
        </is>
      </c>
      <c r="E786" t="inlineStr">
        <is>
          <t>2026-09-06</t>
        </is>
      </c>
      <c r="F786" t="inlineStr">
        <is>
          <t>2026-09-06</t>
        </is>
      </c>
      <c r="G786" t="inlineStr">
        <is>
          <t>LinkedIn job tracker status: Applied 10mo ago; location: Birmingham, AL (On-site)</t>
        </is>
      </c>
    </row>
    <row r="787">
      <c r="A787" t="inlineStr">
        <is>
          <t>Weekday AI (YC W21)</t>
        </is>
      </c>
      <c r="B787" t="inlineStr">
        <is>
          <t>STEM PhDs (Computer Science) AI Trainer</t>
        </is>
      </c>
      <c r="C787" t="inlineStr">
        <is>
          <t>Applied (auto-submission via Simplify)</t>
        </is>
      </c>
      <c r="D787" t="inlineStr">
        <is>
          <t>LinkedIn (Simplify auto-apply, reconciled 2026-09-06)</t>
        </is>
      </c>
      <c r="E787" t="inlineStr">
        <is>
          <t>2026-09-06</t>
        </is>
      </c>
      <c r="F787" t="inlineStr">
        <is>
          <t>2026-09-06</t>
        </is>
      </c>
      <c r="G787" t="inlineStr">
        <is>
          <t>LinkedIn job tracker status: Applied 10mo ago; location: United States (Remote)</t>
        </is>
      </c>
    </row>
    <row r="788">
      <c r="A788" t="inlineStr">
        <is>
          <t>Anonymous</t>
        </is>
      </c>
      <c r="B788" t="inlineStr">
        <is>
          <t>Information Systems Analyst</t>
        </is>
      </c>
      <c r="C788" t="inlineStr">
        <is>
          <t>Applied (auto-submission via Simplify)</t>
        </is>
      </c>
      <c r="D788" t="inlineStr">
        <is>
          <t>LinkedIn (Simplify auto-apply, reconciled 2026-09-06)</t>
        </is>
      </c>
      <c r="E788" t="inlineStr">
        <is>
          <t>2026-09-06</t>
        </is>
      </c>
      <c r="F788" t="inlineStr">
        <is>
          <t>2026-09-06</t>
        </is>
      </c>
      <c r="G788" t="inlineStr">
        <is>
          <t>LinkedIn job tracker status: Applied 10mo ago; location: Camden, SC (On-site)</t>
        </is>
      </c>
    </row>
    <row r="789">
      <c r="A789" t="inlineStr">
        <is>
          <t>LogicManager</t>
        </is>
      </c>
      <c r="B789" t="inlineStr">
        <is>
          <t>Systems Administrator</t>
        </is>
      </c>
      <c r="C789" t="inlineStr">
        <is>
          <t>Applied (auto-submission via Simplify)</t>
        </is>
      </c>
      <c r="D789" t="inlineStr">
        <is>
          <t>LinkedIn (Simplify auto-apply, reconciled 2026-09-06)</t>
        </is>
      </c>
      <c r="E789" t="inlineStr">
        <is>
          <t>2026-09-06</t>
        </is>
      </c>
      <c r="F789" t="inlineStr">
        <is>
          <t>2026-09-06</t>
        </is>
      </c>
      <c r="G789" t="inlineStr">
        <is>
          <t>LinkedIn job tracker status: Applied 10mo ago; location: United States (Remote)</t>
        </is>
      </c>
    </row>
    <row r="790">
      <c r="A790" t="inlineStr">
        <is>
          <t>Netgain Technology, LLC</t>
        </is>
      </c>
      <c r="B790" t="inlineStr">
        <is>
          <t>Service Desk Representative</t>
        </is>
      </c>
      <c r="C790" t="inlineStr">
        <is>
          <t>Applied (auto-submission via Simplify)</t>
        </is>
      </c>
      <c r="D790" t="inlineStr">
        <is>
          <t>LinkedIn (Simplify auto-apply, reconciled 2026-09-06)</t>
        </is>
      </c>
      <c r="E790" t="inlineStr">
        <is>
          <t>2026-09-06</t>
        </is>
      </c>
      <c r="F790" t="inlineStr">
        <is>
          <t>2026-09-06</t>
        </is>
      </c>
      <c r="G790" t="inlineStr">
        <is>
          <t>LinkedIn job tracker status: Applied 10mo ago; location: United States (Remote)</t>
        </is>
      </c>
    </row>
    <row r="791">
      <c r="A791" t="inlineStr">
        <is>
          <t>Insight Global</t>
        </is>
      </c>
      <c r="B791" t="inlineStr">
        <is>
          <t>PC Deployment Technician</t>
        </is>
      </c>
      <c r="C791" t="inlineStr">
        <is>
          <t>Applied (auto-submission via Simplify)</t>
        </is>
      </c>
      <c r="D791" t="inlineStr">
        <is>
          <t>LinkedIn (Simplify auto-apply, reconciled 2026-09-06)</t>
        </is>
      </c>
      <c r="E791" t="inlineStr">
        <is>
          <t>2026-09-06</t>
        </is>
      </c>
      <c r="F791" t="inlineStr">
        <is>
          <t>2026-09-06</t>
        </is>
      </c>
      <c r="G791" t="inlineStr">
        <is>
          <t>LinkedIn job tracker status: Applied 10mo ago; location: Birmingham, AL (On-site)</t>
        </is>
      </c>
    </row>
    <row r="792">
      <c r="A792" t="inlineStr">
        <is>
          <t>Jobgether</t>
        </is>
      </c>
      <c r="B792" t="inlineStr">
        <is>
          <t>IT Support (Remote - US)</t>
        </is>
      </c>
      <c r="C792" t="inlineStr">
        <is>
          <t>Applied (auto-submission via Simplify)</t>
        </is>
      </c>
      <c r="D792" t="inlineStr">
        <is>
          <t>LinkedIn (Simplify auto-apply, reconciled 2026-09-06)</t>
        </is>
      </c>
      <c r="E792" t="inlineStr">
        <is>
          <t>2026-09-06</t>
        </is>
      </c>
      <c r="F792" t="inlineStr">
        <is>
          <t>2026-09-06</t>
        </is>
      </c>
      <c r="G792" t="inlineStr">
        <is>
          <t>LinkedIn job tracker status: Applied 10mo ago; location: United States (Remote)</t>
        </is>
      </c>
    </row>
    <row r="793">
      <c r="A793" t="inlineStr">
        <is>
          <t>Westlink Academy</t>
        </is>
      </c>
      <c r="B793" t="inlineStr">
        <is>
          <t>CompTIA Security+ Instructor (Part-Time, Remote)</t>
        </is>
      </c>
      <c r="C793" t="inlineStr">
        <is>
          <t>Applied (auto-submission via Simplify)</t>
        </is>
      </c>
      <c r="D793" t="inlineStr">
        <is>
          <t>LinkedIn (Simplify auto-apply, reconciled 2026-09-06)</t>
        </is>
      </c>
      <c r="E793" t="inlineStr">
        <is>
          <t>2026-09-06</t>
        </is>
      </c>
      <c r="F793" t="inlineStr">
        <is>
          <t>2026-09-06</t>
        </is>
      </c>
      <c r="G793" t="inlineStr">
        <is>
          <t>LinkedIn job tracker status: Applied 10mo ago; location: United States (Remote)</t>
        </is>
      </c>
    </row>
    <row r="794">
      <c r="A794" t="inlineStr">
        <is>
          <t>Brooksource</t>
        </is>
      </c>
      <c r="B794" t="inlineStr">
        <is>
          <t>Technical Support Specialist</t>
        </is>
      </c>
      <c r="C794" t="inlineStr">
        <is>
          <t>Applied (auto-submission via Simplify)</t>
        </is>
      </c>
      <c r="D794" t="inlineStr">
        <is>
          <t>LinkedIn (Simplify auto-apply, reconciled 2026-09-06)</t>
        </is>
      </c>
      <c r="E794" t="inlineStr">
        <is>
          <t>2026-09-06</t>
        </is>
      </c>
      <c r="F794" t="inlineStr">
        <is>
          <t>2026-09-06</t>
        </is>
      </c>
      <c r="G794" t="inlineStr">
        <is>
          <t>LinkedIn job tracker status: Applied 10mo ago; location: Birmingham, AL (On-site)</t>
        </is>
      </c>
    </row>
    <row r="795">
      <c r="A795" t="inlineStr">
        <is>
          <t>Denken Solutions, Inc.</t>
        </is>
      </c>
      <c r="B795" t="inlineStr">
        <is>
          <t>Training Support Specialist</t>
        </is>
      </c>
      <c r="C795" t="inlineStr">
        <is>
          <t>Applied (auto-submission via Simplify)</t>
        </is>
      </c>
      <c r="D795" t="inlineStr">
        <is>
          <t>LinkedIn (Simplify auto-apply, reconciled 2026-09-06)</t>
        </is>
      </c>
      <c r="E795" t="inlineStr">
        <is>
          <t>2026-09-06</t>
        </is>
      </c>
      <c r="F795" t="inlineStr">
        <is>
          <t>2026-09-06</t>
        </is>
      </c>
      <c r="G795" t="inlineStr">
        <is>
          <t>LinkedIn job tracker status: Applied 10mo ago; location: Birmingham, AL (On-site)</t>
        </is>
      </c>
    </row>
    <row r="796">
      <c r="A796" t="inlineStr">
        <is>
          <t>swipejobs</t>
        </is>
      </c>
      <c r="B796" t="inlineStr">
        <is>
          <t>Technical Trainer</t>
        </is>
      </c>
      <c r="C796" t="inlineStr">
        <is>
          <t>Applied (auto-submission via Simplify)</t>
        </is>
      </c>
      <c r="D796" t="inlineStr">
        <is>
          <t>LinkedIn (Simplify auto-apply, reconciled 2026-09-06)</t>
        </is>
      </c>
      <c r="E796" t="inlineStr">
        <is>
          <t>2026-09-06</t>
        </is>
      </c>
      <c r="F796" t="inlineStr">
        <is>
          <t>2026-09-06</t>
        </is>
      </c>
      <c r="G796" t="inlineStr">
        <is>
          <t>LinkedIn job tracker status: Applied 10mo ago; location: United States (Remote)</t>
        </is>
      </c>
    </row>
    <row r="797">
      <c r="A797" t="inlineStr">
        <is>
          <t>Kforce Inc</t>
        </is>
      </c>
      <c r="B797" t="inlineStr">
        <is>
          <t>IT Subject Matter SME</t>
        </is>
      </c>
      <c r="C797" t="inlineStr">
        <is>
          <t>Applied (auto-submission via Simplify)</t>
        </is>
      </c>
      <c r="D797" t="inlineStr">
        <is>
          <t>LinkedIn (Simplify auto-apply, reconciled 2026-09-06)</t>
        </is>
      </c>
      <c r="E797" t="inlineStr">
        <is>
          <t>2026-09-06</t>
        </is>
      </c>
      <c r="F797" t="inlineStr">
        <is>
          <t>2026-09-06</t>
        </is>
      </c>
      <c r="G797" t="inlineStr">
        <is>
          <t>LinkedIn job tracker status: Applied 10mo ago; location: Huntsville, AL (On-site)</t>
        </is>
      </c>
    </row>
    <row r="798">
      <c r="A798" t="inlineStr">
        <is>
          <t>Net2Source (N2S)</t>
        </is>
      </c>
      <c r="B798" t="inlineStr">
        <is>
          <t>Technical Support Specialist</t>
        </is>
      </c>
      <c r="C798" t="inlineStr">
        <is>
          <t>Applied (auto-submission via Simplify)</t>
        </is>
      </c>
      <c r="D798" t="inlineStr">
        <is>
          <t>LinkedIn (Simplify auto-apply, reconciled 2026-09-06)</t>
        </is>
      </c>
      <c r="E798" t="inlineStr">
        <is>
          <t>2026-09-06</t>
        </is>
      </c>
      <c r="F798" t="inlineStr">
        <is>
          <t>2026-09-06</t>
        </is>
      </c>
      <c r="G798" t="inlineStr">
        <is>
          <t>LinkedIn job tracker status: Applied 10mo ago; location: United States (Remote)</t>
        </is>
      </c>
    </row>
    <row r="799">
      <c r="A799" t="inlineStr">
        <is>
          <t>eTeam</t>
        </is>
      </c>
      <c r="B799" t="inlineStr">
        <is>
          <t>Desktop Support Technician</t>
        </is>
      </c>
      <c r="C799" t="inlineStr">
        <is>
          <t>Applied (auto-submission via Simplify)</t>
        </is>
      </c>
      <c r="D799" t="inlineStr">
        <is>
          <t>LinkedIn (Simplify auto-apply, reconciled 2026-09-06)</t>
        </is>
      </c>
      <c r="E799" t="inlineStr">
        <is>
          <t>2026-09-06</t>
        </is>
      </c>
      <c r="F799" t="inlineStr">
        <is>
          <t>2026-09-06</t>
        </is>
      </c>
      <c r="G799" t="inlineStr">
        <is>
          <t>LinkedIn job tracker status: Applied 10mo ago; location: Madison, AL (On-site)</t>
        </is>
      </c>
    </row>
    <row r="800">
      <c r="A800" t="inlineStr">
        <is>
          <t>Akkodis</t>
        </is>
      </c>
      <c r="B800" t="inlineStr">
        <is>
          <t>Help Desk Technician</t>
        </is>
      </c>
      <c r="C800" t="inlineStr">
        <is>
          <t>Applied (auto-submission via Simplify)</t>
        </is>
      </c>
      <c r="D800" t="inlineStr">
        <is>
          <t>LinkedIn (Simplify auto-apply, reconciled 2026-09-06)</t>
        </is>
      </c>
      <c r="E800" t="inlineStr">
        <is>
          <t>2026-09-06</t>
        </is>
      </c>
      <c r="F800" t="inlineStr">
        <is>
          <t>2026-09-06</t>
        </is>
      </c>
      <c r="G800" t="inlineStr">
        <is>
          <t>LinkedIn job tracker status: Applied 10mo ago; location: United States (Remote)</t>
        </is>
      </c>
    </row>
    <row r="801">
      <c r="A801" t="inlineStr">
        <is>
          <t>Intuvie</t>
        </is>
      </c>
      <c r="B801" t="inlineStr">
        <is>
          <t>Helpdesk Associate</t>
        </is>
      </c>
      <c r="C801" t="inlineStr">
        <is>
          <t>Applied (auto-submission via Simplify)</t>
        </is>
      </c>
      <c r="D801" t="inlineStr">
        <is>
          <t>LinkedIn (Simplify auto-apply, reconciled 2026-09-06)</t>
        </is>
      </c>
      <c r="E801" t="inlineStr">
        <is>
          <t>2026-09-06</t>
        </is>
      </c>
      <c r="F801" t="inlineStr">
        <is>
          <t>2026-09-06</t>
        </is>
      </c>
      <c r="G801" t="inlineStr">
        <is>
          <t>LinkedIn job tracker status: Applied 10mo ago; location: United States (Remote)</t>
        </is>
      </c>
    </row>
    <row r="802">
      <c r="A802" t="inlineStr">
        <is>
          <t>Innova Solutions</t>
        </is>
      </c>
      <c r="B802" t="inlineStr">
        <is>
          <t>Information Technology Support Technician</t>
        </is>
      </c>
      <c r="C802" t="inlineStr">
        <is>
          <t>Applied (auto-submission via Simplify)</t>
        </is>
      </c>
      <c r="D802" t="inlineStr">
        <is>
          <t>LinkedIn (Simplify auto-apply, reconciled 2026-09-06)</t>
        </is>
      </c>
      <c r="E802" t="inlineStr">
        <is>
          <t>2026-09-06</t>
        </is>
      </c>
      <c r="F802" t="inlineStr">
        <is>
          <t>2026-09-06</t>
        </is>
      </c>
      <c r="G802" t="inlineStr">
        <is>
          <t>LinkedIn job tracker status: Applied 10mo ago; location: United States (Remote)</t>
        </is>
      </c>
    </row>
    <row r="803">
      <c r="A803" t="inlineStr">
        <is>
          <t>Clarity Consultants</t>
        </is>
      </c>
      <c r="B803" t="inlineStr">
        <is>
          <t>Training Coordinator - 100% Virtual</t>
        </is>
      </c>
      <c r="C803" t="inlineStr">
        <is>
          <t>Applied (auto-submission via Simplify)</t>
        </is>
      </c>
      <c r="D803" t="inlineStr">
        <is>
          <t>LinkedIn (Simplify auto-apply, reconciled 2026-09-06)</t>
        </is>
      </c>
      <c r="E803" t="inlineStr">
        <is>
          <t>2026-09-06</t>
        </is>
      </c>
      <c r="F803" t="inlineStr">
        <is>
          <t>2026-09-06</t>
        </is>
      </c>
      <c r="G803" t="inlineStr">
        <is>
          <t>LinkedIn job tracker status: Applied 10mo ago; location: Campbell, CA (Remote)</t>
        </is>
      </c>
    </row>
    <row r="804">
      <c r="A804" t="inlineStr">
        <is>
          <t>Raintree Systems</t>
        </is>
      </c>
      <c r="B804" t="inlineStr">
        <is>
          <t>Helpdesk Technician II</t>
        </is>
      </c>
      <c r="C804" t="inlineStr">
        <is>
          <t>Applied (auto-submission via Simplify)</t>
        </is>
      </c>
      <c r="D804" t="inlineStr">
        <is>
          <t>LinkedIn (Simplify auto-apply, reconciled 2026-09-06)</t>
        </is>
      </c>
      <c r="E804" t="inlineStr">
        <is>
          <t>2026-09-06</t>
        </is>
      </c>
      <c r="F804" t="inlineStr">
        <is>
          <t>2026-09-06</t>
        </is>
      </c>
      <c r="G804" t="inlineStr">
        <is>
          <t>LinkedIn job tracker status: Applied 10mo ago; location: United States (Remote)</t>
        </is>
      </c>
    </row>
    <row r="805">
      <c r="A805" t="inlineStr">
        <is>
          <t>Sharp Brains</t>
        </is>
      </c>
      <c r="B805" t="inlineStr">
        <is>
          <t>Desktop Support Specialist</t>
        </is>
      </c>
      <c r="C805" t="inlineStr">
        <is>
          <t>Applied (auto-submission via Simplify)</t>
        </is>
      </c>
      <c r="D805" t="inlineStr">
        <is>
          <t>LinkedIn (Simplify auto-apply, reconciled 2026-09-06)</t>
        </is>
      </c>
      <c r="E805" t="inlineStr">
        <is>
          <t>2026-09-06</t>
        </is>
      </c>
      <c r="F805" t="inlineStr">
        <is>
          <t>2026-09-06</t>
        </is>
      </c>
      <c r="G805" t="inlineStr">
        <is>
          <t>LinkedIn job tracker status: Applied 10mo ago; location: Vance, AL (On-site)</t>
        </is>
      </c>
    </row>
    <row r="806">
      <c r="A806" t="inlineStr">
        <is>
          <t>Jobgether</t>
        </is>
      </c>
      <c r="B806" t="inlineStr">
        <is>
          <t>Help Desk Technician (REMOTE)</t>
        </is>
      </c>
      <c r="C806" t="inlineStr">
        <is>
          <t>Applied (auto-submission via Simplify)</t>
        </is>
      </c>
      <c r="D806" t="inlineStr">
        <is>
          <t>LinkedIn (Simplify auto-apply, reconciled 2026-09-06)</t>
        </is>
      </c>
      <c r="E806" t="inlineStr">
        <is>
          <t>2026-09-06</t>
        </is>
      </c>
      <c r="F806" t="inlineStr">
        <is>
          <t>2026-09-06</t>
        </is>
      </c>
      <c r="G806" t="inlineStr">
        <is>
          <t>LinkedIn job tracker status: Applied 10mo ago; location: United States (Remote)</t>
        </is>
      </c>
    </row>
    <row r="807">
      <c r="A807" t="inlineStr">
        <is>
          <t>Vertex Solutions Inc.</t>
        </is>
      </c>
      <c r="B807" t="inlineStr">
        <is>
          <t>Information Security Compliance and Risk</t>
        </is>
      </c>
      <c r="C807" t="inlineStr">
        <is>
          <t>Applied (auto-submission via Simplify)</t>
        </is>
      </c>
      <c r="D807" t="inlineStr">
        <is>
          <t>LinkedIn (Simplify auto-apply, reconciled 2026-09-06)</t>
        </is>
      </c>
      <c r="E807" t="inlineStr">
        <is>
          <t>2026-09-06</t>
        </is>
      </c>
      <c r="F807" t="inlineStr">
        <is>
          <t>2026-09-06</t>
        </is>
      </c>
      <c r="G807" t="inlineStr">
        <is>
          <t>LinkedIn job tracker status: Applied 11mo ago; location: United States (Remote)</t>
        </is>
      </c>
    </row>
    <row r="808">
      <c r="A808" t="inlineStr">
        <is>
          <t>LHH</t>
        </is>
      </c>
      <c r="B808" t="inlineStr">
        <is>
          <t>Information Technology Support Engineer</t>
        </is>
      </c>
      <c r="C808" t="inlineStr">
        <is>
          <t>Applied (auto-submission via Simplify)</t>
        </is>
      </c>
      <c r="D808" t="inlineStr">
        <is>
          <t>LinkedIn (Simplify auto-apply, reconciled 2026-09-06)</t>
        </is>
      </c>
      <c r="E808" t="inlineStr">
        <is>
          <t>2026-09-06</t>
        </is>
      </c>
      <c r="F808" t="inlineStr">
        <is>
          <t>2026-09-06</t>
        </is>
      </c>
      <c r="G808" t="inlineStr">
        <is>
          <t>LinkedIn job tracker status: Applied 11mo ago; location: San Francisco Bay Area (Remote)</t>
        </is>
      </c>
    </row>
    <row r="809">
      <c r="A809" t="inlineStr">
        <is>
          <t>Medix</t>
        </is>
      </c>
      <c r="B809" t="inlineStr">
        <is>
          <t>Desktop/Hardware Technician 246340</t>
        </is>
      </c>
      <c r="C809" t="inlineStr">
        <is>
          <t>Applied (auto-submission via Simplify)</t>
        </is>
      </c>
      <c r="D809" t="inlineStr">
        <is>
          <t>LinkedIn (Simplify auto-apply, reconciled 2026-09-06)</t>
        </is>
      </c>
      <c r="E809" t="inlineStr">
        <is>
          <t>2026-09-06</t>
        </is>
      </c>
      <c r="F809" t="inlineStr">
        <is>
          <t>2026-09-06</t>
        </is>
      </c>
      <c r="G809" t="inlineStr">
        <is>
          <t>LinkedIn job tracker status: Applied 10mo ago; location: Winfield, AL (On-site)</t>
        </is>
      </c>
    </row>
    <row r="810">
      <c r="A810" t="inlineStr">
        <is>
          <t>Stefanini Group</t>
        </is>
      </c>
      <c r="B810" t="inlineStr">
        <is>
          <t>Cyber Security Analyst</t>
        </is>
      </c>
      <c r="C810" t="inlineStr">
        <is>
          <t>Applied (auto-submission via Simplify)</t>
        </is>
      </c>
      <c r="D810" t="inlineStr">
        <is>
          <t>LinkedIn (Simplify auto-apply, reconciled 2026-09-06)</t>
        </is>
      </c>
      <c r="E810" t="inlineStr">
        <is>
          <t>2026-09-06</t>
        </is>
      </c>
      <c r="F810" t="inlineStr">
        <is>
          <t>2026-09-06</t>
        </is>
      </c>
      <c r="G810" t="inlineStr">
        <is>
          <t>LinkedIn job tracker status: Applied 11mo ago; location: Wilmington, DE (Hybrid)</t>
        </is>
      </c>
    </row>
    <row r="811">
      <c r="A811" t="inlineStr">
        <is>
          <t>DataSure24</t>
        </is>
      </c>
      <c r="B811" t="inlineStr">
        <is>
          <t>CISO Manager</t>
        </is>
      </c>
      <c r="C811" t="inlineStr">
        <is>
          <t>Applied (auto-submission via Simplify)</t>
        </is>
      </c>
      <c r="D811" t="inlineStr">
        <is>
          <t>LinkedIn (Simplify auto-apply, reconciled 2026-09-06)</t>
        </is>
      </c>
      <c r="E811" t="inlineStr">
        <is>
          <t>2026-09-06</t>
        </is>
      </c>
      <c r="F811" t="inlineStr">
        <is>
          <t>2026-09-06</t>
        </is>
      </c>
      <c r="G811" t="inlineStr">
        <is>
          <t>LinkedIn job tracker status: Applied 11mo ago; location: Buffalo, NY (Hybrid)</t>
        </is>
      </c>
    </row>
    <row r="812">
      <c r="A812" t="inlineStr">
        <is>
          <t>Talon Hiring Solutions</t>
        </is>
      </c>
      <c r="B812" t="inlineStr">
        <is>
          <t>Level II IT Technician (Microsoft 365 &amp; MSP Services)</t>
        </is>
      </c>
      <c r="C812" t="inlineStr">
        <is>
          <t>Applied (auto-submission via Simplify)</t>
        </is>
      </c>
      <c r="D812" t="inlineStr">
        <is>
          <t>LinkedIn (Simplify auto-apply, reconciled 2026-09-06)</t>
        </is>
      </c>
      <c r="E812" t="inlineStr">
        <is>
          <t>2026-09-06</t>
        </is>
      </c>
      <c r="F812" t="inlineStr">
        <is>
          <t>2026-09-06</t>
        </is>
      </c>
      <c r="G812" t="inlineStr">
        <is>
          <t>LinkedIn job tracker status: Applied 10mo ago; location: Birmingham, AL (On-site)</t>
        </is>
      </c>
    </row>
    <row r="813">
      <c r="A813" t="inlineStr">
        <is>
          <t>Lease &amp; LaBau, Inc.</t>
        </is>
      </c>
      <c r="B813" t="inlineStr">
        <is>
          <t>Business Development Specialist</t>
        </is>
      </c>
      <c r="C813" t="inlineStr">
        <is>
          <t>Applied (auto-submission via Simplify)</t>
        </is>
      </c>
      <c r="D813" t="inlineStr">
        <is>
          <t>LinkedIn (Simplify auto-apply, reconciled 2026-09-06)</t>
        </is>
      </c>
      <c r="E813" t="inlineStr">
        <is>
          <t>2026-09-06</t>
        </is>
      </c>
      <c r="F813" t="inlineStr">
        <is>
          <t>2026-09-06</t>
        </is>
      </c>
      <c r="G813" t="inlineStr">
        <is>
          <t>LinkedIn job tracker status: Applied 11mo ago; location: New York City Metropolitan Area (On-site)</t>
        </is>
      </c>
    </row>
    <row r="814">
      <c r="A814" t="inlineStr">
        <is>
          <t>Thrive Networks</t>
        </is>
      </c>
      <c r="B814" t="inlineStr">
        <is>
          <t>Technical Support Engineer</t>
        </is>
      </c>
      <c r="C814" t="inlineStr">
        <is>
          <t>Applied (auto-submission via Simplify)</t>
        </is>
      </c>
      <c r="D814" t="inlineStr">
        <is>
          <t>LinkedIn (Simplify auto-apply, reconciled 2026-09-06)</t>
        </is>
      </c>
      <c r="E814" t="inlineStr">
        <is>
          <t>2026-09-06</t>
        </is>
      </c>
      <c r="F814" t="inlineStr">
        <is>
          <t>2026-09-06</t>
        </is>
      </c>
      <c r="G814" t="inlineStr">
        <is>
          <t>LinkedIn job tracker status: Applied 10mo ago; location: Birmingham, AL (On-site)</t>
        </is>
      </c>
    </row>
    <row r="815">
      <c r="A815" t="inlineStr">
        <is>
          <t>Tenet Healthcare</t>
        </is>
      </c>
      <c r="B815" t="inlineStr">
        <is>
          <t>Cybersecurity Engineer</t>
        </is>
      </c>
      <c r="C815" t="inlineStr">
        <is>
          <t>Applied (auto-submission via Simplify)</t>
        </is>
      </c>
      <c r="D815" t="inlineStr">
        <is>
          <t>LinkedIn (Simplify auto-apply, reconciled 2026-09-06)</t>
        </is>
      </c>
      <c r="E815" t="inlineStr">
        <is>
          <t>2026-09-06</t>
        </is>
      </c>
      <c r="F815" t="inlineStr">
        <is>
          <t>2026-09-06</t>
        </is>
      </c>
      <c r="G815" t="inlineStr">
        <is>
          <t>LinkedIn job tracker status: Applied 11mo ago; location: Dallas, TX</t>
        </is>
      </c>
    </row>
    <row r="816">
      <c r="A816" t="inlineStr">
        <is>
          <t>iConsultera</t>
        </is>
      </c>
      <c r="B816" t="inlineStr">
        <is>
          <t>Cyber Security Analyst</t>
        </is>
      </c>
      <c r="C816" t="inlineStr">
        <is>
          <t>Applied (auto-submission via Simplify)</t>
        </is>
      </c>
      <c r="D816" t="inlineStr">
        <is>
          <t>LinkedIn (Simplify auto-apply, reconciled 2026-09-06)</t>
        </is>
      </c>
      <c r="E816" t="inlineStr">
        <is>
          <t>2026-09-06</t>
        </is>
      </c>
      <c r="F816" t="inlineStr">
        <is>
          <t>2026-09-06</t>
        </is>
      </c>
      <c r="G816" t="inlineStr">
        <is>
          <t>LinkedIn job tracker status: Applied 11mo ago; location: United States (Remote)</t>
        </is>
      </c>
    </row>
    <row r="817">
      <c r="A817" t="inlineStr">
        <is>
          <t>Noblesoft Technologies</t>
        </is>
      </c>
      <c r="B817" t="inlineStr">
        <is>
          <t>Network Operations Analyst/ NOC Analyst</t>
        </is>
      </c>
      <c r="C817" t="inlineStr">
        <is>
          <t>Applied (auto-submission via Simplify)</t>
        </is>
      </c>
      <c r="D817" t="inlineStr">
        <is>
          <t>LinkedIn (Simplify auto-apply, reconciled 2026-09-06)</t>
        </is>
      </c>
      <c r="E817" t="inlineStr">
        <is>
          <t>2026-09-06</t>
        </is>
      </c>
      <c r="F817" t="inlineStr">
        <is>
          <t>2026-09-06</t>
        </is>
      </c>
      <c r="G817" t="inlineStr">
        <is>
          <t>LinkedIn job tracker status: Applied 1w ago; location: Syracuse, NY (On-site)</t>
        </is>
      </c>
    </row>
    <row r="818">
      <c r="A818" t="inlineStr">
        <is>
          <t>Helic &amp; Co</t>
        </is>
      </c>
      <c r="B818" t="inlineStr">
        <is>
          <t>Cyber Security Analyst</t>
        </is>
      </c>
      <c r="C818" t="inlineStr">
        <is>
          <t>Applied (auto-submission via Simplify)</t>
        </is>
      </c>
      <c r="D818" t="inlineStr">
        <is>
          <t>LinkedIn (Simplify auto-apply, reconciled 2026-09-06)</t>
        </is>
      </c>
      <c r="E818" t="inlineStr">
        <is>
          <t>2026-09-06</t>
        </is>
      </c>
      <c r="F818" t="inlineStr">
        <is>
          <t>2026-09-06</t>
        </is>
      </c>
      <c r="G818" t="inlineStr">
        <is>
          <t>LinkedIn job tracker status: Applied 1w ago; location: United States (Remote)</t>
        </is>
      </c>
    </row>
    <row r="819">
      <c r="A819" t="inlineStr">
        <is>
          <t>JCW Group</t>
        </is>
      </c>
      <c r="B819" t="inlineStr">
        <is>
          <t>Senior Manager- ServiceNow IRM/GRC Product Owner</t>
        </is>
      </c>
      <c r="C819" t="inlineStr">
        <is>
          <t>Applied (auto-submission via Simplify)</t>
        </is>
      </c>
      <c r="D819" t="inlineStr">
        <is>
          <t>LinkedIn (Simplify auto-apply, reconciled 2026-09-06)</t>
        </is>
      </c>
      <c r="E819" t="inlineStr">
        <is>
          <t>2026-09-06</t>
        </is>
      </c>
      <c r="F819" t="inlineStr">
        <is>
          <t>2026-09-06</t>
        </is>
      </c>
      <c r="G819" t="inlineStr">
        <is>
          <t>LinkedIn job tracker status: Applied 1w ago; location: Greater Houston (Hybrid)</t>
        </is>
      </c>
    </row>
    <row r="820">
      <c r="A820" t="inlineStr">
        <is>
          <t>TKO</t>
        </is>
      </c>
      <c r="B820" t="inlineStr">
        <is>
          <t>IT Compliance Manager</t>
        </is>
      </c>
      <c r="C820" t="inlineStr">
        <is>
          <t>Applied (auto-submission via Simplify)</t>
        </is>
      </c>
      <c r="D820" t="inlineStr">
        <is>
          <t>LinkedIn (Simplify auto-apply, reconciled 2026-09-06)</t>
        </is>
      </c>
      <c r="E820" t="inlineStr">
        <is>
          <t>2026-09-06</t>
        </is>
      </c>
      <c r="F820" t="inlineStr">
        <is>
          <t>2026-09-06</t>
        </is>
      </c>
      <c r="G820" t="inlineStr">
        <is>
          <t>LinkedIn job tracker status: Applied 3w ago; location: United States (Remote)</t>
        </is>
      </c>
    </row>
    <row r="821">
      <c r="A821" t="inlineStr">
        <is>
          <t>Lewis Brisbois</t>
        </is>
      </c>
      <c r="B821" t="inlineStr">
        <is>
          <t>Director of Information Governance</t>
        </is>
      </c>
      <c r="C821" t="inlineStr">
        <is>
          <t>Applied (auto-submission via Simplify)</t>
        </is>
      </c>
      <c r="D821" t="inlineStr">
        <is>
          <t>LinkedIn (Simplify auto-apply, reconciled 2026-09-06)</t>
        </is>
      </c>
      <c r="E821" t="inlineStr">
        <is>
          <t>2026-09-06</t>
        </is>
      </c>
      <c r="F821" t="inlineStr">
        <is>
          <t>2026-09-06</t>
        </is>
      </c>
      <c r="G821" t="inlineStr">
        <is>
          <t>LinkedIn job tracker status: Applied 3w ago; location: Washington, DC (Hybrid)</t>
        </is>
      </c>
    </row>
    <row r="822">
      <c r="A822" t="inlineStr">
        <is>
          <t>Beacon Hill</t>
        </is>
      </c>
      <c r="B822" t="inlineStr">
        <is>
          <t>IT Risk &amp; Compliance Consultant</t>
        </is>
      </c>
      <c r="C822" t="inlineStr">
        <is>
          <t>Applied (auto-submission via Simplify)</t>
        </is>
      </c>
      <c r="D822" t="inlineStr">
        <is>
          <t>LinkedIn (Simplify auto-apply, reconciled 2026-09-06)</t>
        </is>
      </c>
      <c r="E822" t="inlineStr">
        <is>
          <t>2026-09-06</t>
        </is>
      </c>
      <c r="F822" t="inlineStr">
        <is>
          <t>2026-09-06</t>
        </is>
      </c>
      <c r="G822" t="inlineStr">
        <is>
          <t>LinkedIn job tracker status: Applied 3w ago; location: Chicago, IL (Hybrid)</t>
        </is>
      </c>
    </row>
    <row r="823">
      <c r="A823" t="inlineStr">
        <is>
          <t>NinjaTrader</t>
        </is>
      </c>
      <c r="B823" t="inlineStr">
        <is>
          <t>GRC Analyst</t>
        </is>
      </c>
      <c r="C823" t="inlineStr">
        <is>
          <t>Applied (auto-submission via Simplify)</t>
        </is>
      </c>
      <c r="D823" t="inlineStr">
        <is>
          <t>LinkedIn (Simplify auto-apply, reconciled 2026-09-06)</t>
        </is>
      </c>
      <c r="E823" t="inlineStr">
        <is>
          <t>2026-09-06</t>
        </is>
      </c>
      <c r="F823" t="inlineStr">
        <is>
          <t>2026-09-06</t>
        </is>
      </c>
      <c r="G823" t="inlineStr">
        <is>
          <t>LinkedIn job tracker status: Applied 3w ago; location: Chicago, IL (Hybrid)</t>
        </is>
      </c>
    </row>
    <row r="824">
      <c r="A824" t="inlineStr">
        <is>
          <t>Transhield, Inc.</t>
        </is>
      </c>
      <c r="B824" t="inlineStr">
        <is>
          <t>Information Security and Compliance Manager</t>
        </is>
      </c>
      <c r="C824" t="inlineStr">
        <is>
          <t>Applied (auto-submission via Simplify)</t>
        </is>
      </c>
      <c r="D824" t="inlineStr">
        <is>
          <t>LinkedIn (Simplify auto-apply, reconciled 2026-09-06)</t>
        </is>
      </c>
      <c r="E824" t="inlineStr">
        <is>
          <t>2026-09-06</t>
        </is>
      </c>
      <c r="F824" t="inlineStr">
        <is>
          <t>2026-09-06</t>
        </is>
      </c>
      <c r="G824" t="inlineStr">
        <is>
          <t>LinkedIn job tracker status: Applied 3w ago; location: Elkhart, IN (On-site)</t>
        </is>
      </c>
    </row>
    <row r="825">
      <c r="A825" t="inlineStr">
        <is>
          <t>PLS Financial Services, Inc.</t>
        </is>
      </c>
      <c r="B825" t="inlineStr">
        <is>
          <t>IT Compliance Lead</t>
        </is>
      </c>
      <c r="C825" t="inlineStr">
        <is>
          <t>Applied (auto-submission via Simplify)</t>
        </is>
      </c>
      <c r="D825" t="inlineStr">
        <is>
          <t>LinkedIn (Simplify auto-apply, reconciled 2026-09-06)</t>
        </is>
      </c>
      <c r="E825" t="inlineStr">
        <is>
          <t>2026-09-06</t>
        </is>
      </c>
      <c r="F825" t="inlineStr">
        <is>
          <t>2026-09-06</t>
        </is>
      </c>
      <c r="G825" t="inlineStr">
        <is>
          <t>LinkedIn job tracker status: Applied 3w ago; location: Oak Brook, IL (On-site)</t>
        </is>
      </c>
    </row>
    <row r="826">
      <c r="A826" t="inlineStr">
        <is>
          <t>Steptoe &amp; Johnson PLLC</t>
        </is>
      </c>
      <c r="B826" t="inlineStr">
        <is>
          <t>Information Security Analyst</t>
        </is>
      </c>
      <c r="C826" t="inlineStr">
        <is>
          <t>Applied (auto-submission via Simplify)</t>
        </is>
      </c>
      <c r="D826" t="inlineStr">
        <is>
          <t>LinkedIn (Simplify auto-apply, reconciled 2026-09-06)</t>
        </is>
      </c>
      <c r="E826" t="inlineStr">
        <is>
          <t>2026-09-06</t>
        </is>
      </c>
      <c r="F826" t="inlineStr">
        <is>
          <t>2026-09-06</t>
        </is>
      </c>
      <c r="G826" t="inlineStr">
        <is>
          <t>LinkedIn job tracker status: Applied 4w ago; location: The Woodlands, TX (Hybrid)</t>
        </is>
      </c>
    </row>
    <row r="827">
      <c r="A827" t="inlineStr">
        <is>
          <t>Pop-Up Talent</t>
        </is>
      </c>
      <c r="B827" t="inlineStr">
        <is>
          <t>Cyber Crime Investigator</t>
        </is>
      </c>
      <c r="C827" t="inlineStr">
        <is>
          <t>Applied (auto-submission via Simplify)</t>
        </is>
      </c>
      <c r="D827" t="inlineStr">
        <is>
          <t>LinkedIn (Simplify auto-apply, reconciled 2026-09-06)</t>
        </is>
      </c>
      <c r="E827" t="inlineStr">
        <is>
          <t>2026-09-06</t>
        </is>
      </c>
      <c r="F827" t="inlineStr">
        <is>
          <t>2026-09-06</t>
        </is>
      </c>
      <c r="G827" t="inlineStr">
        <is>
          <t>LinkedIn job tracker status: Applied 4w ago; location: Fredericksburg, VA (On-site)</t>
        </is>
      </c>
    </row>
    <row r="828">
      <c r="A828" t="inlineStr">
        <is>
          <t>Ascendo Resources</t>
        </is>
      </c>
      <c r="B828" t="inlineStr">
        <is>
          <t>Compliance Manager</t>
        </is>
      </c>
      <c r="C828" t="inlineStr">
        <is>
          <t>Applied (auto-submission via Simplify)</t>
        </is>
      </c>
      <c r="D828" t="inlineStr">
        <is>
          <t>LinkedIn (Simplify auto-apply, reconciled 2026-09-06)</t>
        </is>
      </c>
      <c r="E828" t="inlineStr">
        <is>
          <t>2026-09-06</t>
        </is>
      </c>
      <c r="F828" t="inlineStr">
        <is>
          <t>2026-09-06</t>
        </is>
      </c>
      <c r="G828" t="inlineStr">
        <is>
          <t>LinkedIn job tracker status: Applied 4w ago; location: Houston, TX (On-site)</t>
        </is>
      </c>
    </row>
    <row r="829">
      <c r="A829" t="inlineStr">
        <is>
          <t>TALENER GROUP, LLC</t>
        </is>
      </c>
      <c r="B829" t="inlineStr">
        <is>
          <t>Director of Compliance</t>
        </is>
      </c>
      <c r="C829" t="inlineStr">
        <is>
          <t>Applied (auto-submission via Simplify)</t>
        </is>
      </c>
      <c r="D829" t="inlineStr">
        <is>
          <t>LinkedIn (Simplify auto-apply, reconciled 2026-09-06)</t>
        </is>
      </c>
      <c r="E829" t="inlineStr">
        <is>
          <t>2026-09-06</t>
        </is>
      </c>
      <c r="F829" t="inlineStr">
        <is>
          <t>2026-09-06</t>
        </is>
      </c>
      <c r="G829" t="inlineStr">
        <is>
          <t>LinkedIn job tracker status: Applied 1mo ago; location: New York, United States</t>
        </is>
      </c>
    </row>
    <row r="830">
      <c r="A830" t="inlineStr">
        <is>
          <t>Gotham Technology Group</t>
        </is>
      </c>
      <c r="B830" t="inlineStr">
        <is>
          <t>Cybersecurity Associate</t>
        </is>
      </c>
      <c r="C830" t="inlineStr">
        <is>
          <t>Applied (auto-submission via Simplify)</t>
        </is>
      </c>
      <c r="D830" t="inlineStr">
        <is>
          <t>LinkedIn (Simplify auto-apply, reconciled 2026-09-06)</t>
        </is>
      </c>
      <c r="E830" t="inlineStr">
        <is>
          <t>2026-09-06</t>
        </is>
      </c>
      <c r="F830" t="inlineStr">
        <is>
          <t>2026-09-06</t>
        </is>
      </c>
      <c r="G830" t="inlineStr">
        <is>
          <t>LinkedIn job tracker status: Applied 1mo ago; location: United States (Remote)</t>
        </is>
      </c>
    </row>
    <row r="831">
      <c r="A831" t="inlineStr">
        <is>
          <t>Zywave</t>
        </is>
      </c>
      <c r="B831" t="inlineStr">
        <is>
          <t>GRC Analyst</t>
        </is>
      </c>
      <c r="C831" t="inlineStr">
        <is>
          <t>Applied (auto-submission via Simplify)</t>
        </is>
      </c>
      <c r="D831" t="inlineStr">
        <is>
          <t>LinkedIn (Simplify auto-apply, reconciled 2026-09-06)</t>
        </is>
      </c>
      <c r="E831" t="inlineStr">
        <is>
          <t>2026-09-06</t>
        </is>
      </c>
      <c r="F831" t="inlineStr">
        <is>
          <t>2026-09-06</t>
        </is>
      </c>
      <c r="G831" t="inlineStr">
        <is>
          <t>LinkedIn job tracker status: Applied 1mo ago; location: United States (Remote)</t>
        </is>
      </c>
    </row>
    <row r="832">
      <c r="A832" t="inlineStr">
        <is>
          <t>Consumer Direct Care Network</t>
        </is>
      </c>
      <c r="B832" t="inlineStr">
        <is>
          <t>Cybersecurity GRC Analyst II</t>
        </is>
      </c>
      <c r="C832" t="inlineStr">
        <is>
          <t>Applied (auto-submission via Simplify)</t>
        </is>
      </c>
      <c r="D832" t="inlineStr">
        <is>
          <t>LinkedIn (Simplify auto-apply, reconciled 2026-09-06)</t>
        </is>
      </c>
      <c r="E832" t="inlineStr">
        <is>
          <t>2026-09-06</t>
        </is>
      </c>
      <c r="F832" t="inlineStr">
        <is>
          <t>2026-09-06</t>
        </is>
      </c>
      <c r="G832" t="inlineStr">
        <is>
          <t>LinkedIn job tracker status: Applied 1mo ago; location: United States (Remote)</t>
        </is>
      </c>
    </row>
    <row r="833">
      <c r="A833" t="inlineStr">
        <is>
          <t>Corelink, LLC</t>
        </is>
      </c>
      <c r="B833" t="inlineStr">
        <is>
          <t>Information Security Consultant (QSA)</t>
        </is>
      </c>
      <c r="C833" t="inlineStr">
        <is>
          <t>Applied (auto-submission via Simplify)</t>
        </is>
      </c>
      <c r="D833" t="inlineStr">
        <is>
          <t>LinkedIn (Simplify auto-apply, reconciled 2026-09-06)</t>
        </is>
      </c>
      <c r="E833" t="inlineStr">
        <is>
          <t>2026-09-06</t>
        </is>
      </c>
      <c r="F833" t="inlineStr">
        <is>
          <t>2026-09-06</t>
        </is>
      </c>
      <c r="G833" t="inlineStr">
        <is>
          <t>LinkedIn job tracker status: Applied 1mo ago; location: United States (Remote)</t>
        </is>
      </c>
    </row>
    <row r="834">
      <c r="A834" t="inlineStr">
        <is>
          <t>Box</t>
        </is>
      </c>
      <c r="B834" t="inlineStr">
        <is>
          <t>ISO 42001 Compliance Manager</t>
        </is>
      </c>
      <c r="C834" t="inlineStr">
        <is>
          <t>Applied (auto-submission via Simplify)</t>
        </is>
      </c>
      <c r="D834" t="inlineStr">
        <is>
          <t>LinkedIn (Simplify auto-apply, reconciled 2026-09-06)</t>
        </is>
      </c>
      <c r="E834" t="inlineStr">
        <is>
          <t>2026-09-06</t>
        </is>
      </c>
      <c r="F834" t="inlineStr">
        <is>
          <t>2026-09-06</t>
        </is>
      </c>
      <c r="G834" t="inlineStr">
        <is>
          <t>LinkedIn job tracker status: Applied 1mo ago; location: Redwood City, CA (Hybrid)</t>
        </is>
      </c>
    </row>
    <row r="835">
      <c r="A835" t="inlineStr">
        <is>
          <t>NextgenID</t>
        </is>
      </c>
      <c r="B835" t="inlineStr">
        <is>
          <t>Governance, Risk, and Compliance Lead</t>
        </is>
      </c>
      <c r="C835" t="inlineStr">
        <is>
          <t>Applied (auto-submission via Simplify)</t>
        </is>
      </c>
      <c r="D835" t="inlineStr">
        <is>
          <t>LinkedIn (Simplify auto-apply, reconciled 2026-09-06)</t>
        </is>
      </c>
      <c r="E835" t="inlineStr">
        <is>
          <t>2026-09-06</t>
        </is>
      </c>
      <c r="F835" t="inlineStr">
        <is>
          <t>2026-09-06</t>
        </is>
      </c>
      <c r="G835" t="inlineStr">
        <is>
          <t>LinkedIn job tracker status: Applied 1mo ago; location: Northern Virginia, VA (On-site)</t>
        </is>
      </c>
    </row>
    <row r="836">
      <c r="A836" t="inlineStr">
        <is>
          <t>(unlisted employer)</t>
        </is>
      </c>
      <c r="B836" t="inlineStr">
        <is>
          <t>Full Time Instructor</t>
        </is>
      </c>
      <c r="C836" t="inlineStr">
        <is>
          <t>Applied (auto-submission via Simplify)</t>
        </is>
      </c>
      <c r="D836" t="inlineStr">
        <is>
          <t>LinkedIn (Simplify auto-apply, reconciled 2026-09-06)</t>
        </is>
      </c>
      <c r="E836" t="inlineStr">
        <is>
          <t>2026-09-06</t>
        </is>
      </c>
      <c r="F836" t="inlineStr">
        <is>
          <t>2026-09-06</t>
        </is>
      </c>
      <c r="G836" t="inlineStr">
        <is>
          <t>LinkedIn job tracker status: Applied 1mo ago; location: Baltimore, MD (On-site)</t>
        </is>
      </c>
    </row>
    <row r="837">
      <c r="A837" t="inlineStr">
        <is>
          <t>Hidani Tech</t>
        </is>
      </c>
      <c r="B837" t="inlineStr">
        <is>
          <t>Security Engineer</t>
        </is>
      </c>
      <c r="C837" t="inlineStr">
        <is>
          <t>Applied (auto-submission via Simplify)</t>
        </is>
      </c>
      <c r="D837" t="inlineStr">
        <is>
          <t>LinkedIn (Simplify auto-apply, reconciled 2026-09-06)</t>
        </is>
      </c>
      <c r="E837" t="inlineStr">
        <is>
          <t>2026-09-06</t>
        </is>
      </c>
      <c r="F837" t="inlineStr">
        <is>
          <t>2026-09-06</t>
        </is>
      </c>
      <c r="G837" t="inlineStr">
        <is>
          <t>LinkedIn job tracker status: Applied 1mo ago; location: Huntsville, AL (On-site)</t>
        </is>
      </c>
    </row>
    <row r="838">
      <c r="A838" t="inlineStr">
        <is>
          <t>TALENT Software Services</t>
        </is>
      </c>
      <c r="B838" t="inlineStr">
        <is>
          <t>IT - ADMIN - Security Architect - Consultant</t>
        </is>
      </c>
      <c r="C838" t="inlineStr">
        <is>
          <t>Applied (auto-submission via Simplify)</t>
        </is>
      </c>
      <c r="D838" t="inlineStr">
        <is>
          <t>LinkedIn (Simplify auto-apply, reconciled 2026-09-06)</t>
        </is>
      </c>
      <c r="E838" t="inlineStr">
        <is>
          <t>2026-09-06</t>
        </is>
      </c>
      <c r="F838" t="inlineStr">
        <is>
          <t>2026-09-06</t>
        </is>
      </c>
      <c r="G838" t="inlineStr">
        <is>
          <t>LinkedIn job tracker status: Applied 1mo ago; location: Columbia, SC (On-site)</t>
        </is>
      </c>
    </row>
    <row r="839">
      <c r="A839" t="inlineStr">
        <is>
          <t>Konica Minolta Business Solutions U.S.A., Inc.</t>
        </is>
      </c>
      <c r="B839" t="inlineStr">
        <is>
          <t>Cyber Security Engineer</t>
        </is>
      </c>
      <c r="C839" t="inlineStr">
        <is>
          <t>Applied (auto-submission via Simplify)</t>
        </is>
      </c>
      <c r="D839" t="inlineStr">
        <is>
          <t>LinkedIn (Simplify auto-apply, reconciled 2026-09-06)</t>
        </is>
      </c>
      <c r="E839" t="inlineStr">
        <is>
          <t>2026-09-06</t>
        </is>
      </c>
      <c r="F839" t="inlineStr">
        <is>
          <t>2026-09-06</t>
        </is>
      </c>
      <c r="G839" t="inlineStr">
        <is>
          <t>LinkedIn job tracker status: Applied 1mo ago; location: Philadelphia, PA</t>
        </is>
      </c>
    </row>
    <row r="840">
      <c r="A840" t="inlineStr">
        <is>
          <t>SysLogic, Inc.</t>
        </is>
      </c>
      <c r="B840" t="inlineStr">
        <is>
          <t>Security Engineer (AppSec)</t>
        </is>
      </c>
      <c r="C840" t="inlineStr">
        <is>
          <t>Applied (auto-submission via Simplify)</t>
        </is>
      </c>
      <c r="D840" t="inlineStr">
        <is>
          <t>LinkedIn (Simplify auto-apply, reconciled 2026-09-06)</t>
        </is>
      </c>
      <c r="E840" t="inlineStr">
        <is>
          <t>2026-09-06</t>
        </is>
      </c>
      <c r="F840" t="inlineStr">
        <is>
          <t>2026-09-06</t>
        </is>
      </c>
      <c r="G840" t="inlineStr">
        <is>
          <t>LinkedIn job tracker status: Applied 1mo ago; location: Brookfield, WI (Remote)</t>
        </is>
      </c>
    </row>
    <row r="841">
      <c r="A841" t="inlineStr">
        <is>
          <t>SafeDNS</t>
        </is>
      </c>
      <c r="B841" t="inlineStr">
        <is>
          <t>Advisory Consultant - Internet Safety &amp; Network Filtering</t>
        </is>
      </c>
      <c r="C841" t="inlineStr">
        <is>
          <t>Applied (auto-submission via Simplify)</t>
        </is>
      </c>
      <c r="D841" t="inlineStr">
        <is>
          <t>LinkedIn (Simplify auto-apply, reconciled 2026-09-06)</t>
        </is>
      </c>
      <c r="E841" t="inlineStr">
        <is>
          <t>2026-09-06</t>
        </is>
      </c>
      <c r="F841" t="inlineStr">
        <is>
          <t>2026-09-06</t>
        </is>
      </c>
      <c r="G841" t="inlineStr">
        <is>
          <t>LinkedIn job tracker status: Applied 1mo ago; location: United States (Remote)</t>
        </is>
      </c>
    </row>
    <row r="842">
      <c r="A842" t="inlineStr">
        <is>
          <t>TalentFish</t>
        </is>
      </c>
      <c r="B842" t="inlineStr">
        <is>
          <t>Vulnerability Management &amp; Offensive Security Analyst</t>
        </is>
      </c>
      <c r="C842" t="inlineStr">
        <is>
          <t>Applied (auto-submission via Simplify)</t>
        </is>
      </c>
      <c r="D842" t="inlineStr">
        <is>
          <t>LinkedIn (Simplify auto-apply, reconciled 2026-09-06)</t>
        </is>
      </c>
      <c r="E842" t="inlineStr">
        <is>
          <t>2026-09-06</t>
        </is>
      </c>
      <c r="F842" t="inlineStr">
        <is>
          <t>2026-09-06</t>
        </is>
      </c>
      <c r="G842" t="inlineStr">
        <is>
          <t>LinkedIn job tracker status: Applied 1mo ago; location: United States (Remote)</t>
        </is>
      </c>
    </row>
    <row r="843">
      <c r="A843" t="inlineStr">
        <is>
          <t>Boeing</t>
        </is>
      </c>
      <c r="B843" t="inlineStr">
        <is>
          <t>Cybersecurity - Information System Security Manager (ISSM)</t>
        </is>
      </c>
      <c r="C843" t="inlineStr">
        <is>
          <t>Applied (auto-submission via Simplify)</t>
        </is>
      </c>
      <c r="D843" t="inlineStr">
        <is>
          <t>LinkedIn (Simplify auto-apply, reconciled 2026-09-06)</t>
        </is>
      </c>
      <c r="E843" t="inlineStr">
        <is>
          <t>2026-09-06</t>
        </is>
      </c>
      <c r="F843" t="inlineStr">
        <is>
          <t>2026-09-06</t>
        </is>
      </c>
      <c r="G843" t="inlineStr">
        <is>
          <t>LinkedIn job tracker status: Clicked Apply; location: Fairfax, VA</t>
        </is>
      </c>
    </row>
    <row r="844">
      <c r="A844" t="inlineStr">
        <is>
          <t>Gentex Corporation</t>
        </is>
      </c>
      <c r="B844" t="inlineStr">
        <is>
          <t>Cyber Security Manager</t>
        </is>
      </c>
      <c r="C844" t="inlineStr">
        <is>
          <t>Applied (auto-submission via Simplify)</t>
        </is>
      </c>
      <c r="D844" t="inlineStr">
        <is>
          <t>LinkedIn (Simplify auto-apply, reconciled 2026-09-06)</t>
        </is>
      </c>
      <c r="E844" t="inlineStr">
        <is>
          <t>2026-09-06</t>
        </is>
      </c>
      <c r="F844" t="inlineStr">
        <is>
          <t>2026-09-06</t>
        </is>
      </c>
      <c r="G844" t="inlineStr">
        <is>
          <t>LinkedIn job tracker status: Clicked Apply; location: Auburn Hills, MI</t>
        </is>
      </c>
    </row>
    <row r="845">
      <c r="A845" t="inlineStr">
        <is>
          <t>Systems Evolution, Inc.</t>
        </is>
      </c>
      <c r="B845" t="inlineStr">
        <is>
          <t>Security, Risk and Compliance Consultant</t>
        </is>
      </c>
      <c r="C845" t="inlineStr">
        <is>
          <t>Applied (auto-submission via Simplify)</t>
        </is>
      </c>
      <c r="D845" t="inlineStr">
        <is>
          <t>LinkedIn (Simplify auto-apply, reconciled 2026-09-06)</t>
        </is>
      </c>
      <c r="E845" t="inlineStr">
        <is>
          <t>2026-09-06</t>
        </is>
      </c>
      <c r="F845" t="inlineStr">
        <is>
          <t>2026-09-06</t>
        </is>
      </c>
      <c r="G845" t="inlineStr">
        <is>
          <t>LinkedIn job tracker status: Clicked Apply; location: Cincinnati, OH</t>
        </is>
      </c>
    </row>
    <row r="846">
      <c r="A846" t="inlineStr">
        <is>
          <t>University of Alabama at Birmingham</t>
        </is>
      </c>
      <c r="B846" t="inlineStr">
        <is>
          <t>RESEARCHING COMPUTING SECURITY &amp; COMPLIANCE ENG-ENT</t>
        </is>
      </c>
      <c r="C846" t="inlineStr">
        <is>
          <t>Applied (auto-submission via Simplify)</t>
        </is>
      </c>
      <c r="D846" t="inlineStr">
        <is>
          <t>LinkedIn (Simplify auto-apply, reconciled 2026-09-06)</t>
        </is>
      </c>
      <c r="E846" t="inlineStr">
        <is>
          <t>2026-09-06</t>
        </is>
      </c>
      <c r="F846" t="inlineStr">
        <is>
          <t>2026-09-06</t>
        </is>
      </c>
      <c r="G846" t="inlineStr">
        <is>
          <t>LinkedIn job tracker status: Clicked Apply; location: Greater Birmingham, Alabama Area</t>
        </is>
      </c>
    </row>
    <row r="847">
      <c r="A847" t="inlineStr">
        <is>
          <t>Medpace</t>
        </is>
      </c>
      <c r="B847" t="inlineStr">
        <is>
          <t>Network Information Security Engineer</t>
        </is>
      </c>
      <c r="C847" t="inlineStr">
        <is>
          <t>Applied (auto-submission via Simplify)</t>
        </is>
      </c>
      <c r="D847" t="inlineStr">
        <is>
          <t>LinkedIn (Simplify auto-apply, reconciled 2026-09-06)</t>
        </is>
      </c>
      <c r="E847" t="inlineStr">
        <is>
          <t>2026-09-06</t>
        </is>
      </c>
      <c r="F847" t="inlineStr">
        <is>
          <t>2026-09-06</t>
        </is>
      </c>
      <c r="G847" t="inlineStr">
        <is>
          <t>LinkedIn job tracker status: Clicked Apply; location: Cincinnati, OH (On-site)</t>
        </is>
      </c>
    </row>
    <row r="848">
      <c r="A848" t="inlineStr">
        <is>
          <t>Amyx, Inc.</t>
        </is>
      </c>
      <c r="B848" t="inlineStr">
        <is>
          <t>RMF and Cybersecurity Lead</t>
        </is>
      </c>
      <c r="C848" t="inlineStr">
        <is>
          <t>Applied (auto-submission via Simplify)</t>
        </is>
      </c>
      <c r="D848" t="inlineStr">
        <is>
          <t>LinkedIn (Simplify auto-apply, reconciled 2026-09-06)</t>
        </is>
      </c>
      <c r="E848" t="inlineStr">
        <is>
          <t>2026-09-06</t>
        </is>
      </c>
      <c r="F848" t="inlineStr">
        <is>
          <t>2026-09-06</t>
        </is>
      </c>
      <c r="G848" t="inlineStr">
        <is>
          <t>LinkedIn job tracker status: Clicked Apply; location: O'Fallon, IL</t>
        </is>
      </c>
    </row>
    <row r="849">
      <c r="A849" t="inlineStr">
        <is>
          <t>Veritiv</t>
        </is>
      </c>
      <c r="B849" t="inlineStr">
        <is>
          <t>Senior Cyber Defense &amp; Risk Analyst</t>
        </is>
      </c>
      <c r="C849" t="inlineStr">
        <is>
          <t>Applied (auto-submission via Simplify)</t>
        </is>
      </c>
      <c r="D849" t="inlineStr">
        <is>
          <t>LinkedIn (Simplify auto-apply, reconciled 2026-09-06)</t>
        </is>
      </c>
      <c r="E849" t="inlineStr">
        <is>
          <t>2026-09-06</t>
        </is>
      </c>
      <c r="F849" t="inlineStr">
        <is>
          <t>2026-09-06</t>
        </is>
      </c>
      <c r="G849" t="inlineStr">
        <is>
          <t>LinkedIn job tracker status: Clicked Apply; location: Atlanta, GA</t>
        </is>
      </c>
    </row>
    <row r="850">
      <c r="A850" t="inlineStr">
        <is>
          <t>Parkland Hospital</t>
        </is>
      </c>
      <c r="B850" t="inlineStr">
        <is>
          <t>Information Systems Security - Experienced Engineer</t>
        </is>
      </c>
      <c r="C850" t="inlineStr">
        <is>
          <t>Applied (auto-submission via Simplify)</t>
        </is>
      </c>
      <c r="D850" t="inlineStr">
        <is>
          <t>LinkedIn (Simplify auto-apply, reconciled 2026-09-06)</t>
        </is>
      </c>
      <c r="E850" t="inlineStr">
        <is>
          <t>2026-09-06</t>
        </is>
      </c>
      <c r="F850" t="inlineStr">
        <is>
          <t>2026-09-06</t>
        </is>
      </c>
      <c r="G850" t="inlineStr">
        <is>
          <t>LinkedIn job tracker status: Clicked Apply; location: Dallas, TX</t>
        </is>
      </c>
    </row>
    <row r="851">
      <c r="A851" t="inlineStr">
        <is>
          <t>Redox</t>
        </is>
      </c>
      <c r="B851" t="inlineStr">
        <is>
          <t>Director of IT &amp; Security, CISO</t>
        </is>
      </c>
      <c r="C851" t="inlineStr">
        <is>
          <t>Applied (auto-submission via Simplify)</t>
        </is>
      </c>
      <c r="D851" t="inlineStr">
        <is>
          <t>LinkedIn (Simplify auto-apply, reconciled 2026-09-06)</t>
        </is>
      </c>
      <c r="E851" t="inlineStr">
        <is>
          <t>2026-09-06</t>
        </is>
      </c>
      <c r="F851" t="inlineStr">
        <is>
          <t>2026-09-06</t>
        </is>
      </c>
      <c r="G851" t="inlineStr">
        <is>
          <t>LinkedIn job tracker status: Clicked Apply; location: United States (Remote)</t>
        </is>
      </c>
    </row>
    <row r="852">
      <c r="A852" t="inlineStr">
        <is>
          <t>Kroll</t>
        </is>
      </c>
      <c r="B852" t="inlineStr">
        <is>
          <t>Senior Director- Cyber Advisory</t>
        </is>
      </c>
      <c r="C852" t="inlineStr">
        <is>
          <t>Applied (auto-submission via Simplify)</t>
        </is>
      </c>
      <c r="D852" t="inlineStr">
        <is>
          <t>LinkedIn (Simplify auto-apply, reconciled 2026-09-06)</t>
        </is>
      </c>
      <c r="E852" t="inlineStr">
        <is>
          <t>2026-09-06</t>
        </is>
      </c>
      <c r="F852" t="inlineStr">
        <is>
          <t>2026-09-06</t>
        </is>
      </c>
      <c r="G852" t="inlineStr">
        <is>
          <t>LinkedIn job tracker status: Clicked Apply; location: Houston, TX</t>
        </is>
      </c>
    </row>
    <row r="853">
      <c r="A853" t="inlineStr">
        <is>
          <t>Crowell &amp; Moring</t>
        </is>
      </c>
      <c r="B853" t="inlineStr">
        <is>
          <t>Director of Information Governance</t>
        </is>
      </c>
      <c r="C853" t="inlineStr">
        <is>
          <t>Applied (auto-submission via Simplify)</t>
        </is>
      </c>
      <c r="D853" t="inlineStr">
        <is>
          <t>LinkedIn (Simplify auto-apply, reconciled 2026-09-06)</t>
        </is>
      </c>
      <c r="E853" t="inlineStr">
        <is>
          <t>2026-09-06</t>
        </is>
      </c>
      <c r="F853" t="inlineStr">
        <is>
          <t>2026-09-06</t>
        </is>
      </c>
      <c r="G853" t="inlineStr">
        <is>
          <t>LinkedIn job tracker status: Clicked Apply; location: United States (Remote)</t>
        </is>
      </c>
    </row>
    <row r="854">
      <c r="A854" t="inlineStr">
        <is>
          <t>Wellby</t>
        </is>
      </c>
      <c r="B854" t="inlineStr">
        <is>
          <t>IT Security Analyst II</t>
        </is>
      </c>
      <c r="C854" t="inlineStr">
        <is>
          <t>Applied (auto-submission via Simplify)</t>
        </is>
      </c>
      <c r="D854" t="inlineStr">
        <is>
          <t>LinkedIn (Simplify auto-apply, reconciled 2026-09-06)</t>
        </is>
      </c>
      <c r="E854" t="inlineStr">
        <is>
          <t>2026-09-06</t>
        </is>
      </c>
      <c r="F854" t="inlineStr">
        <is>
          <t>2026-09-06</t>
        </is>
      </c>
      <c r="G854" t="inlineStr">
        <is>
          <t>LinkedIn job tracker status: Clicked Apply; location: Webster, TX</t>
        </is>
      </c>
    </row>
    <row r="855">
      <c r="A855" t="inlineStr">
        <is>
          <t>Western &amp; Southern Financial Group</t>
        </is>
      </c>
      <c r="B855" t="inlineStr">
        <is>
          <t>Cybersecurity Governance Analyst III</t>
        </is>
      </c>
      <c r="C855" t="inlineStr">
        <is>
          <t>Applied (auto-submission via Simplify)</t>
        </is>
      </c>
      <c r="D855" t="inlineStr">
        <is>
          <t>LinkedIn (Simplify auto-apply, reconciled 2026-09-06)</t>
        </is>
      </c>
      <c r="E855" t="inlineStr">
        <is>
          <t>2026-09-06</t>
        </is>
      </c>
      <c r="F855" t="inlineStr">
        <is>
          <t>2026-09-06</t>
        </is>
      </c>
      <c r="G855" t="inlineStr">
        <is>
          <t>LinkedIn job tracker status: Clicked Apply; location: Cincinnati, OH (On-site)</t>
        </is>
      </c>
    </row>
    <row r="856">
      <c r="A856" t="inlineStr">
        <is>
          <t>Legora</t>
        </is>
      </c>
      <c r="B856" t="inlineStr">
        <is>
          <t>GRC Engineer</t>
        </is>
      </c>
      <c r="C856" t="inlineStr">
        <is>
          <t>Applied (auto-submission via Simplify)</t>
        </is>
      </c>
      <c r="D856" t="inlineStr">
        <is>
          <t>LinkedIn (Simplify auto-apply, reconciled 2026-09-06)</t>
        </is>
      </c>
      <c r="E856" t="inlineStr">
        <is>
          <t>2026-09-06</t>
        </is>
      </c>
      <c r="F856" t="inlineStr">
        <is>
          <t>2026-09-06</t>
        </is>
      </c>
      <c r="G856" t="inlineStr">
        <is>
          <t>LinkedIn job tracker status: Clicked Apply; location: New York, NY (On-site)</t>
        </is>
      </c>
    </row>
    <row r="857">
      <c r="A857" t="inlineStr">
        <is>
          <t>Tata Consultancy Services Limited</t>
        </is>
      </c>
      <c r="B857" t="inlineStr">
        <is>
          <t>Gen AI Assessment Specialist</t>
        </is>
      </c>
      <c r="C857" t="inlineStr">
        <is>
          <t>Applied (auto-submission via Simplify)</t>
        </is>
      </c>
      <c r="D857" t="inlineStr">
        <is>
          <t>LinkedIn (Simplify auto-apply, reconciled 2026-09-06)</t>
        </is>
      </c>
      <c r="E857" t="inlineStr">
        <is>
          <t>2026-09-06</t>
        </is>
      </c>
      <c r="F857" t="inlineStr">
        <is>
          <t>2026-09-06</t>
        </is>
      </c>
      <c r="G857" t="inlineStr">
        <is>
          <t>LinkedIn job tracker status: Clicked Apply; location: Irving, TX</t>
        </is>
      </c>
    </row>
    <row r="858">
      <c r="A858" t="inlineStr">
        <is>
          <t>Information Technology Services, Office of</t>
        </is>
      </c>
      <c r="B858" t="inlineStr">
        <is>
          <t>Director of Cyber Risk Management/Information Security Manager - 20001NYC</t>
        </is>
      </c>
      <c r="C858" t="inlineStr">
        <is>
          <t>Applied (auto-submission via Simplify)</t>
        </is>
      </c>
      <c r="D858" t="inlineStr">
        <is>
          <t>LinkedIn (Simplify auto-apply, reconciled 2026-09-06)</t>
        </is>
      </c>
      <c r="E858" t="inlineStr">
        <is>
          <t>2026-09-06</t>
        </is>
      </c>
      <c r="F858" t="inlineStr">
        <is>
          <t>2026-09-06</t>
        </is>
      </c>
      <c r="G858" t="inlineStr">
        <is>
          <t>LinkedIn job tracker status: Clicked Apply; location: New York, NY (Hybrid)</t>
        </is>
      </c>
    </row>
    <row r="859">
      <c r="A859" t="inlineStr">
        <is>
          <t>Avenu Insights &amp; Analytics</t>
        </is>
      </c>
      <c r="B859" t="inlineStr">
        <is>
          <t>Manager, Information Security (GRC) (Remote)</t>
        </is>
      </c>
      <c r="C859" t="inlineStr">
        <is>
          <t>Applied (auto-submission via Simplify)</t>
        </is>
      </c>
      <c r="D859" t="inlineStr">
        <is>
          <t>LinkedIn (Simplify auto-apply, reconciled 2026-09-06)</t>
        </is>
      </c>
      <c r="E859" t="inlineStr">
        <is>
          <t>2026-09-06</t>
        </is>
      </c>
      <c r="F859" t="inlineStr">
        <is>
          <t>2026-09-06</t>
        </is>
      </c>
      <c r="G859" t="inlineStr">
        <is>
          <t>LinkedIn job tracker status: Clicked Apply; location: Alabama, United States</t>
        </is>
      </c>
    </row>
    <row r="860">
      <c r="A860" t="inlineStr">
        <is>
          <t>Mattermost</t>
        </is>
      </c>
      <c r="B860" t="inlineStr">
        <is>
          <t>GRC Manager</t>
        </is>
      </c>
      <c r="C860" t="inlineStr">
        <is>
          <t>Applied (auto-submission via Simplify)</t>
        </is>
      </c>
      <c r="D860" t="inlineStr">
        <is>
          <t>LinkedIn (Simplify auto-apply, reconciled 2026-09-06)</t>
        </is>
      </c>
      <c r="E860" t="inlineStr">
        <is>
          <t>2026-09-06</t>
        </is>
      </c>
      <c r="F860" t="inlineStr">
        <is>
          <t>2026-09-06</t>
        </is>
      </c>
      <c r="G860" t="inlineStr">
        <is>
          <t>LinkedIn job tracker status: Clicked Apply; location: United States (Remote)</t>
        </is>
      </c>
    </row>
    <row r="861">
      <c r="A861" t="inlineStr">
        <is>
          <t>NY CREATES</t>
        </is>
      </c>
      <c r="B861" t="inlineStr">
        <is>
          <t>Senior Governance, Risk, and Compliance Specialist</t>
        </is>
      </c>
      <c r="C861" t="inlineStr">
        <is>
          <t>Applied (auto-submission via Simplify)</t>
        </is>
      </c>
      <c r="D861" t="inlineStr">
        <is>
          <t>LinkedIn (Simplify auto-apply, reconciled 2026-09-06)</t>
        </is>
      </c>
      <c r="E861" t="inlineStr">
        <is>
          <t>2026-09-06</t>
        </is>
      </c>
      <c r="F861" t="inlineStr">
        <is>
          <t>2026-09-06</t>
        </is>
      </c>
      <c r="G861" t="inlineStr">
        <is>
          <t>LinkedIn job tracker status: Clicked Apply; location: Albany, NY (On-site)</t>
        </is>
      </c>
    </row>
    <row r="862">
      <c r="A862" t="inlineStr">
        <is>
          <t>Reflection AI</t>
        </is>
      </c>
      <c r="B862" t="inlineStr">
        <is>
          <t>Member of Technical Staff - Pre-Training Infra</t>
        </is>
      </c>
      <c r="C862" t="inlineStr">
        <is>
          <t>Applied (auto-submission via Simplify)</t>
        </is>
      </c>
      <c r="D862" t="inlineStr">
        <is>
          <t>LinkedIn (Simplify auto-apply, reconciled 2026-09-06)</t>
        </is>
      </c>
      <c r="E862" t="inlineStr">
        <is>
          <t>2026-09-06</t>
        </is>
      </c>
      <c r="F862" t="inlineStr">
        <is>
          <t>2026-09-06</t>
        </is>
      </c>
      <c r="G862" t="inlineStr">
        <is>
          <t>LinkedIn job tracker status: Clicked Apply; location: San Francisco, CA (On-site)</t>
        </is>
      </c>
    </row>
    <row r="863">
      <c r="A863" t="inlineStr">
        <is>
          <t>KLA Tencor</t>
        </is>
      </c>
      <c r="B863" t="inlineStr">
        <is>
          <t>Technical Instructor (FAST)</t>
        </is>
      </c>
      <c r="C863" t="inlineStr">
        <is>
          <t>Applied (auto-submission via Simplify)</t>
        </is>
      </c>
      <c r="D863" t="inlineStr">
        <is>
          <t>LinkedIn (Simplify auto-apply, reconciled 2026-09-06)</t>
        </is>
      </c>
      <c r="E863" t="inlineStr">
        <is>
          <t>2026-09-06</t>
        </is>
      </c>
      <c r="F863" t="inlineStr">
        <is>
          <t>2026-09-06</t>
        </is>
      </c>
      <c r="G863" t="inlineStr">
        <is>
          <t>LinkedIn job tracker status: Clicked Apply; location: Phoenix, AZ</t>
        </is>
      </c>
    </row>
    <row r="864">
      <c r="A864" t="inlineStr">
        <is>
          <t>ECPI University</t>
        </is>
      </c>
      <c r="B864" t="inlineStr">
        <is>
          <t>CIS - Cyber and Network Security Faculty</t>
        </is>
      </c>
      <c r="C864" t="inlineStr">
        <is>
          <t>Applied (auto-submission via Simplify)</t>
        </is>
      </c>
      <c r="D864" t="inlineStr">
        <is>
          <t>LinkedIn (Simplify auto-apply, reconciled 2026-09-06)</t>
        </is>
      </c>
      <c r="E864" t="inlineStr">
        <is>
          <t>2026-09-06</t>
        </is>
      </c>
      <c r="F864" t="inlineStr">
        <is>
          <t>2026-09-06</t>
        </is>
      </c>
      <c r="G864" t="inlineStr">
        <is>
          <t>LinkedIn job tracker status: Clicked Apply; location: Atlanta, GA (On-site)</t>
        </is>
      </c>
    </row>
    <row r="865">
      <c r="A865" t="inlineStr">
        <is>
          <t>Reflection AI</t>
        </is>
      </c>
      <c r="B865" t="inlineStr">
        <is>
          <t>Don't See Your Role? Apply Here!</t>
        </is>
      </c>
      <c r="C865" t="inlineStr">
        <is>
          <t>Applied (auto-submission via Simplify)</t>
        </is>
      </c>
      <c r="D865" t="inlineStr">
        <is>
          <t>LinkedIn (Simplify auto-apply, reconciled 2026-09-06)</t>
        </is>
      </c>
      <c r="E865" t="inlineStr">
        <is>
          <t>2026-09-06</t>
        </is>
      </c>
      <c r="F865" t="inlineStr">
        <is>
          <t>2026-09-06</t>
        </is>
      </c>
      <c r="G865" t="inlineStr">
        <is>
          <t>LinkedIn job tracker status: Clicked Apply; location: New York, NY (On-site)</t>
        </is>
      </c>
    </row>
    <row r="866">
      <c r="A866" t="inlineStr">
        <is>
          <t>State Street</t>
        </is>
      </c>
      <c r="B866" t="inlineStr">
        <is>
          <t>AI Security Architecture VP-3</t>
        </is>
      </c>
      <c r="C866" t="inlineStr">
        <is>
          <t>Applied (auto-submission via Simplify)</t>
        </is>
      </c>
      <c r="D866" t="inlineStr">
        <is>
          <t>LinkedIn (Simplify auto-apply, reconciled 2026-09-06)</t>
        </is>
      </c>
      <c r="E866" t="inlineStr">
        <is>
          <t>2026-09-06</t>
        </is>
      </c>
      <c r="F866" t="inlineStr">
        <is>
          <t>2026-09-06</t>
        </is>
      </c>
      <c r="G866" t="inlineStr">
        <is>
          <t>LinkedIn job tracker status: Clicked Apply; location: Austin, TX</t>
        </is>
      </c>
    </row>
    <row r="867">
      <c r="A867" t="inlineStr">
        <is>
          <t>Lafayette Group</t>
        </is>
      </c>
      <c r="B867" t="inlineStr">
        <is>
          <t>Cybersecurity Future Technologies Consultant</t>
        </is>
      </c>
      <c r="C867" t="inlineStr">
        <is>
          <t>Applied (auto-submission via Simplify)</t>
        </is>
      </c>
      <c r="D867" t="inlineStr">
        <is>
          <t>LinkedIn (Simplify auto-apply, reconciled 2026-09-06)</t>
        </is>
      </c>
      <c r="E867" t="inlineStr">
        <is>
          <t>2026-09-06</t>
        </is>
      </c>
      <c r="F867" t="inlineStr">
        <is>
          <t>2026-09-06</t>
        </is>
      </c>
      <c r="G867" t="inlineStr">
        <is>
          <t>LinkedIn job tracker status: Clicked Apply; location: Washington DC-Baltimore Area (Hybrid)</t>
        </is>
      </c>
    </row>
    <row r="868">
      <c r="A868" t="inlineStr">
        <is>
          <t>HITRUST</t>
        </is>
      </c>
      <c r="B868" t="inlineStr">
        <is>
          <t>AI Security Principal</t>
        </is>
      </c>
      <c r="C868" t="inlineStr">
        <is>
          <t>Applied (auto-submission via Simplify)</t>
        </is>
      </c>
      <c r="D868" t="inlineStr">
        <is>
          <t>LinkedIn (Simplify auto-apply, reconciled 2026-09-06)</t>
        </is>
      </c>
      <c r="E868" t="inlineStr">
        <is>
          <t>2026-09-06</t>
        </is>
      </c>
      <c r="F868" t="inlineStr">
        <is>
          <t>2026-09-06</t>
        </is>
      </c>
      <c r="G868" t="inlineStr">
        <is>
          <t>LinkedIn job tracker status: Clicked Apply; location: United States (Remote)</t>
        </is>
      </c>
    </row>
    <row r="869">
      <c r="A869" t="inlineStr">
        <is>
          <t>Partnerverse</t>
        </is>
      </c>
      <c r="B869" t="inlineStr">
        <is>
          <t>Cybersecurity Trainer</t>
        </is>
      </c>
      <c r="C869" t="inlineStr">
        <is>
          <t>Applied (auto-submission via Simplify)</t>
        </is>
      </c>
      <c r="D869" t="inlineStr">
        <is>
          <t>LinkedIn (Simplify auto-apply, reconciled 2026-09-06)</t>
        </is>
      </c>
      <c r="E869" t="inlineStr">
        <is>
          <t>2026-09-06</t>
        </is>
      </c>
      <c r="F869" t="inlineStr">
        <is>
          <t>2026-09-06</t>
        </is>
      </c>
      <c r="G869" t="inlineStr">
        <is>
          <t>LinkedIn job tracker status: Clicked Apply; location: Indiana, United States</t>
        </is>
      </c>
    </row>
    <row r="870">
      <c r="A870" t="inlineStr">
        <is>
          <t>WSFS Bank</t>
        </is>
      </c>
      <c r="B870" t="inlineStr">
        <is>
          <t>Governance Risk and Compliance Analyst</t>
        </is>
      </c>
      <c r="C870" t="inlineStr">
        <is>
          <t>Applied (auto-submission via Simplify)</t>
        </is>
      </c>
      <c r="D870" t="inlineStr">
        <is>
          <t>LinkedIn (Simplify auto-apply, reconciled 2026-09-06)</t>
        </is>
      </c>
      <c r="E870" t="inlineStr">
        <is>
          <t>2026-09-06</t>
        </is>
      </c>
      <c r="F870" t="inlineStr">
        <is>
          <t>2026-09-06</t>
        </is>
      </c>
      <c r="G870" t="inlineStr">
        <is>
          <t>LinkedIn job tracker status: Clicked Apply; location: Philadelphia, PA</t>
        </is>
      </c>
    </row>
    <row r="871">
      <c r="A871" t="inlineStr">
        <is>
          <t>Lincoln National Corporation</t>
        </is>
      </c>
      <c r="B871" t="inlineStr">
        <is>
          <t>Sr Associate Risk Analyst - Third Party</t>
        </is>
      </c>
      <c r="C871" t="inlineStr">
        <is>
          <t>Applied (auto-submission via Simplify)</t>
        </is>
      </c>
      <c r="D871" t="inlineStr">
        <is>
          <t>LinkedIn (Simplify auto-apply, reconciled 2026-09-06)</t>
        </is>
      </c>
      <c r="E871" t="inlineStr">
        <is>
          <t>2026-09-06</t>
        </is>
      </c>
      <c r="F871" t="inlineStr">
        <is>
          <t>2026-09-06</t>
        </is>
      </c>
      <c r="G871" t="inlineStr">
        <is>
          <t>LinkedIn job tracker status: Clicked Apply; location: Radnor, PA</t>
        </is>
      </c>
    </row>
    <row r="872">
      <c r="A872" t="inlineStr">
        <is>
          <t>Vanguard</t>
        </is>
      </c>
      <c r="B872" t="inlineStr">
        <is>
          <t>Governance, Risk &amp; Compliance Analyst, Specialist</t>
        </is>
      </c>
      <c r="C872" t="inlineStr">
        <is>
          <t>Applied (auto-submission via Simplify)</t>
        </is>
      </c>
      <c r="D872" t="inlineStr">
        <is>
          <t>LinkedIn (Simplify auto-apply, reconciled 2026-09-06)</t>
        </is>
      </c>
      <c r="E872" t="inlineStr">
        <is>
          <t>2026-09-06</t>
        </is>
      </c>
      <c r="F872" t="inlineStr">
        <is>
          <t>2026-09-06</t>
        </is>
      </c>
      <c r="G872" t="inlineStr">
        <is>
          <t>LinkedIn job tracker status: Clicked Apply; location: Malvern, PA (Hybrid)</t>
        </is>
      </c>
    </row>
    <row r="873">
      <c r="A873" t="inlineStr">
        <is>
          <t>Envestnet, Inc</t>
        </is>
      </c>
      <c r="B873" t="inlineStr">
        <is>
          <t>Director, Data Privacy</t>
        </is>
      </c>
      <c r="C873" t="inlineStr">
        <is>
          <t>Applied (auto-submission via Simplify)</t>
        </is>
      </c>
      <c r="D873" t="inlineStr">
        <is>
          <t>LinkedIn (Simplify auto-apply, reconciled 2026-09-06)</t>
        </is>
      </c>
      <c r="E873" t="inlineStr">
        <is>
          <t>2026-09-06</t>
        </is>
      </c>
      <c r="F873" t="inlineStr">
        <is>
          <t>2026-09-06</t>
        </is>
      </c>
      <c r="G873" t="inlineStr">
        <is>
          <t>LinkedIn job tracker status: Clicked Apply; location: All, MO</t>
        </is>
      </c>
    </row>
    <row r="874">
      <c r="A874" t="inlineStr">
        <is>
          <t>Cengage Learning</t>
        </is>
      </c>
      <c r="B874" t="inlineStr">
        <is>
          <t>Director, Privacy (Remote)</t>
        </is>
      </c>
      <c r="C874" t="inlineStr">
        <is>
          <t>Applied (auto-submission via Simplify)</t>
        </is>
      </c>
      <c r="D874" t="inlineStr">
        <is>
          <t>LinkedIn (Simplify auto-apply, reconciled 2026-09-06)</t>
        </is>
      </c>
      <c r="E874" t="inlineStr">
        <is>
          <t>2026-09-06</t>
        </is>
      </c>
      <c r="F874" t="inlineStr">
        <is>
          <t>2026-09-06</t>
        </is>
      </c>
      <c r="G874" t="inlineStr">
        <is>
          <t>LinkedIn job tracker status: Clicked Apply; location: Ohio, United States</t>
        </is>
      </c>
    </row>
    <row r="875">
      <c r="A875" t="inlineStr">
        <is>
          <t>Novotech</t>
        </is>
      </c>
      <c r="B875" t="inlineStr">
        <is>
          <t>Associate Director IT Compliance</t>
        </is>
      </c>
      <c r="C875" t="inlineStr">
        <is>
          <t>Applied (auto-submission via Simplify)</t>
        </is>
      </c>
      <c r="D875" t="inlineStr">
        <is>
          <t>LinkedIn (Simplify auto-apply, reconciled 2026-09-06)</t>
        </is>
      </c>
      <c r="E875" t="inlineStr">
        <is>
          <t>2026-09-06</t>
        </is>
      </c>
      <c r="F875" t="inlineStr">
        <is>
          <t>2026-09-06</t>
        </is>
      </c>
      <c r="G875" t="inlineStr">
        <is>
          <t>LinkedIn job tracker status: Clicked Apply; location: Raleigh, NC (Hybrid)</t>
        </is>
      </c>
    </row>
    <row r="876">
      <c r="A876" t="inlineStr">
        <is>
          <t>University of Alabama at Birmingham</t>
        </is>
      </c>
      <c r="B876" t="inlineStr">
        <is>
          <t>DIRECTOR-RESEARCH COMP CYBERINFRASTUCTURE-ENT</t>
        </is>
      </c>
      <c r="C876" t="inlineStr">
        <is>
          <t>Applied (auto-submission via Simplify)</t>
        </is>
      </c>
      <c r="D876" t="inlineStr">
        <is>
          <t>LinkedIn (Simplify auto-apply, reconciled 2026-09-06)</t>
        </is>
      </c>
      <c r="E876" t="inlineStr">
        <is>
          <t>2026-09-06</t>
        </is>
      </c>
      <c r="F876" t="inlineStr">
        <is>
          <t>2026-09-06</t>
        </is>
      </c>
      <c r="G876" t="inlineStr">
        <is>
          <t>LinkedIn job tracker status: Clicked Apply; location: Greater Birmingham, Alabama Area</t>
        </is>
      </c>
    </row>
    <row r="877">
      <c r="A877" t="inlineStr">
        <is>
          <t>M&amp;T Bank</t>
        </is>
      </c>
      <c r="B877" t="inlineStr">
        <is>
          <t>GenAI Program Manager</t>
        </is>
      </c>
      <c r="C877" t="inlineStr">
        <is>
          <t>Applied (auto-submission via Simplify)</t>
        </is>
      </c>
      <c r="D877" t="inlineStr">
        <is>
          <t>LinkedIn (Simplify auto-apply, reconciled 2026-09-06)</t>
        </is>
      </c>
      <c r="E877" t="inlineStr">
        <is>
          <t>2026-09-06</t>
        </is>
      </c>
      <c r="F877" t="inlineStr">
        <is>
          <t>2026-09-06</t>
        </is>
      </c>
      <c r="G877" t="inlineStr">
        <is>
          <t>LinkedIn job tracker status: Clicked Apply; location: Buffalo, NY</t>
        </is>
      </c>
    </row>
    <row r="878">
      <c r="A878" t="inlineStr">
        <is>
          <t>ABM Industries Incorporated</t>
        </is>
      </c>
      <c r="B878" t="inlineStr">
        <is>
          <t>Sarbanes Oxley (SOX) IT Compliance Supervisor</t>
        </is>
      </c>
      <c r="C878" t="inlineStr">
        <is>
          <t>Applied (auto-submission via Simplify)</t>
        </is>
      </c>
      <c r="D878" t="inlineStr">
        <is>
          <t>LinkedIn (Simplify auto-apply, reconciled 2026-09-06)</t>
        </is>
      </c>
      <c r="E878" t="inlineStr">
        <is>
          <t>2026-09-06</t>
        </is>
      </c>
      <c r="F878" t="inlineStr">
        <is>
          <t>2026-09-06</t>
        </is>
      </c>
      <c r="G878" t="inlineStr">
        <is>
          <t>LinkedIn job tracker status: Clicked Apply; location: Cumming, GA</t>
        </is>
      </c>
    </row>
    <row r="879">
      <c r="A879" t="inlineStr">
        <is>
          <t>Fulcrum Global Technologies</t>
        </is>
      </c>
      <c r="B879" t="inlineStr">
        <is>
          <t>Governance, Risk, and Compliance (GRC) Analyst</t>
        </is>
      </c>
      <c r="C879" t="inlineStr">
        <is>
          <t>Applied (auto-submission via Simplify)</t>
        </is>
      </c>
      <c r="D879" t="inlineStr">
        <is>
          <t>LinkedIn (Simplify auto-apply, reconciled 2026-09-06)</t>
        </is>
      </c>
      <c r="E879" t="inlineStr">
        <is>
          <t>2026-09-06</t>
        </is>
      </c>
      <c r="F879" t="inlineStr">
        <is>
          <t>2026-09-06</t>
        </is>
      </c>
      <c r="G879" t="inlineStr">
        <is>
          <t>LinkedIn job tracker status: Clicked Apply; location: Schaumburg, IL</t>
        </is>
      </c>
    </row>
    <row r="880">
      <c r="A880" t="inlineStr">
        <is>
          <t>Oscar Insurance Corporation</t>
        </is>
      </c>
      <c r="B880" t="inlineStr">
        <is>
          <t>Associate Director, Corporate Compliance</t>
        </is>
      </c>
      <c r="C880" t="inlineStr">
        <is>
          <t>Applied (auto-submission via Simplify)</t>
        </is>
      </c>
      <c r="D880" t="inlineStr">
        <is>
          <t>LinkedIn (Simplify auto-apply, reconciled 2026-09-06)</t>
        </is>
      </c>
      <c r="E880" t="inlineStr">
        <is>
          <t>2026-09-06</t>
        </is>
      </c>
      <c r="F880" t="inlineStr">
        <is>
          <t>2026-09-06</t>
        </is>
      </c>
      <c r="G880" t="inlineStr">
        <is>
          <t>LinkedIn job tracker status: Clicked Apply; location: Dallas, TX (Remote)</t>
        </is>
      </c>
    </row>
    <row r="881">
      <c r="A881" t="inlineStr">
        <is>
          <t>Swinerton Incorporated</t>
        </is>
      </c>
      <c r="B881" t="inlineStr">
        <is>
          <t>Director of Security and Compliance</t>
        </is>
      </c>
      <c r="C881" t="inlineStr">
        <is>
          <t>Applied (auto-submission via Simplify)</t>
        </is>
      </c>
      <c r="D881" t="inlineStr">
        <is>
          <t>LinkedIn (Simplify auto-apply, reconciled 2026-09-06)</t>
        </is>
      </c>
      <c r="E881" t="inlineStr">
        <is>
          <t>2026-09-06</t>
        </is>
      </c>
      <c r="F881" t="inlineStr">
        <is>
          <t>2026-09-06</t>
        </is>
      </c>
      <c r="G881" t="inlineStr">
        <is>
          <t>LinkedIn job tracker status: Clicked Apply; location: Dallas, TX</t>
        </is>
      </c>
    </row>
    <row r="882">
      <c r="A882" t="inlineStr">
        <is>
          <t>First Choice Community Health Centers</t>
        </is>
      </c>
      <c r="B882" t="inlineStr">
        <is>
          <t>Director of Operations and Compliance</t>
        </is>
      </c>
      <c r="C882" t="inlineStr">
        <is>
          <t>Applied (auto-submission via Simplify)</t>
        </is>
      </c>
      <c r="D882" t="inlineStr">
        <is>
          <t>LinkedIn (Simplify auto-apply, reconciled 2026-09-06)</t>
        </is>
      </c>
      <c r="E882" t="inlineStr">
        <is>
          <t>2026-09-06</t>
        </is>
      </c>
      <c r="F882" t="inlineStr">
        <is>
          <t>2026-09-06</t>
        </is>
      </c>
      <c r="G882" t="inlineStr">
        <is>
          <t>LinkedIn job tracker status: Clicked Apply; location: Lillington, NC (On-site)</t>
        </is>
      </c>
    </row>
    <row r="883">
      <c r="A883" t="inlineStr">
        <is>
          <t>Frontgrade Technologies</t>
        </is>
      </c>
      <c r="B883" t="inlineStr">
        <is>
          <t>GRC Analyst II</t>
        </is>
      </c>
      <c r="C883" t="inlineStr">
        <is>
          <t>Applied (auto-submission via Simplify)</t>
        </is>
      </c>
      <c r="D883" t="inlineStr">
        <is>
          <t>LinkedIn (Simplify auto-apply, reconciled 2026-09-06)</t>
        </is>
      </c>
      <c r="E883" t="inlineStr">
        <is>
          <t>2026-09-06</t>
        </is>
      </c>
      <c r="F883" t="inlineStr">
        <is>
          <t>2026-09-06</t>
        </is>
      </c>
      <c r="G883" t="inlineStr">
        <is>
          <t>LinkedIn job tracker status: Clicked Apply; location: United States (Remote)</t>
        </is>
      </c>
    </row>
    <row r="884">
      <c r="A884" t="inlineStr">
        <is>
          <t>Alliance Enterprises</t>
        </is>
      </c>
      <c r="B884" t="inlineStr">
        <is>
          <t>Compliance, Security &amp; AI Governance Analyst</t>
        </is>
      </c>
      <c r="C884" t="inlineStr">
        <is>
          <t>Applied (auto-submission via Simplify)</t>
        </is>
      </c>
      <c r="D884" t="inlineStr">
        <is>
          <t>LinkedIn (Simplify auto-apply, reconciled 2026-09-06)</t>
        </is>
      </c>
      <c r="E884" t="inlineStr">
        <is>
          <t>2026-09-06</t>
        </is>
      </c>
      <c r="F884" t="inlineStr">
        <is>
          <t>2026-09-06</t>
        </is>
      </c>
      <c r="G884" t="inlineStr">
        <is>
          <t>LinkedIn job tracker status: Clicked Apply; location: United States (Remote)</t>
        </is>
      </c>
    </row>
    <row r="885">
      <c r="A885" t="inlineStr">
        <is>
          <t>City Of Hope</t>
        </is>
      </c>
      <c r="B885" t="inlineStr">
        <is>
          <t>IT Internal Auditor</t>
        </is>
      </c>
      <c r="C885" t="inlineStr">
        <is>
          <t>Applied (auto-submission via Simplify)</t>
        </is>
      </c>
      <c r="D885" t="inlineStr">
        <is>
          <t>LinkedIn (Simplify auto-apply, reconciled 2026-09-06)</t>
        </is>
      </c>
      <c r="E885" t="inlineStr">
        <is>
          <t>2026-09-06</t>
        </is>
      </c>
      <c r="F885" t="inlineStr">
        <is>
          <t>2026-09-06</t>
        </is>
      </c>
      <c r="G885" t="inlineStr">
        <is>
          <t>LinkedIn job tracker status: Clicked Apply; location: United States (Remote)</t>
        </is>
      </c>
    </row>
    <row r="886">
      <c r="A886" t="inlineStr">
        <is>
          <t>University of Texas System</t>
        </is>
      </c>
      <c r="B886" t="inlineStr">
        <is>
          <t>Associate Director, Enterprise Risk Management (ERM)</t>
        </is>
      </c>
      <c r="C886" t="inlineStr">
        <is>
          <t>Applied (auto-submission via Simplify)</t>
        </is>
      </c>
      <c r="D886" t="inlineStr">
        <is>
          <t>LinkedIn (Simplify auto-apply, reconciled 2026-09-06)</t>
        </is>
      </c>
      <c r="E886" t="inlineStr">
        <is>
          <t>2026-09-06</t>
        </is>
      </c>
      <c r="F886" t="inlineStr">
        <is>
          <t>2026-09-06</t>
        </is>
      </c>
      <c r="G886" t="inlineStr">
        <is>
          <t>LinkedIn job tracker status: Clicked Apply; location: Austin, TX</t>
        </is>
      </c>
    </row>
    <row r="887">
      <c r="A887" t="inlineStr">
        <is>
          <t>LS Power</t>
        </is>
      </c>
      <c r="B887" t="inlineStr">
        <is>
          <t>Manager, OT Security &amp; Compliance</t>
        </is>
      </c>
      <c r="C887" t="inlineStr">
        <is>
          <t>Applied (auto-submission via Simplify)</t>
        </is>
      </c>
      <c r="D887" t="inlineStr">
        <is>
          <t>LinkedIn (Simplify auto-apply, reconciled 2026-09-06)</t>
        </is>
      </c>
      <c r="E887" t="inlineStr">
        <is>
          <t>2026-09-06</t>
        </is>
      </c>
      <c r="F887" t="inlineStr">
        <is>
          <t>2026-09-06</t>
        </is>
      </c>
      <c r="G887" t="inlineStr">
        <is>
          <t>LinkedIn job tracker status: Clicked Apply; location: Austin, TX</t>
        </is>
      </c>
    </row>
    <row r="888">
      <c r="A888" t="inlineStr">
        <is>
          <t>Froedtert Health</t>
        </is>
      </c>
      <c r="B888" t="inlineStr">
        <is>
          <t>SUPV EPIC SECURITY, FCH - IT - SECURITY</t>
        </is>
      </c>
      <c r="C888" t="inlineStr">
        <is>
          <t>Applied (auto-submission via Simplify)</t>
        </is>
      </c>
      <c r="D888" t="inlineStr">
        <is>
          <t>LinkedIn (Simplify auto-apply, reconciled 2026-09-06)</t>
        </is>
      </c>
      <c r="E888" t="inlineStr">
        <is>
          <t>2026-09-06</t>
        </is>
      </c>
      <c r="F888" t="inlineStr">
        <is>
          <t>2026-09-06</t>
        </is>
      </c>
      <c r="G888" t="inlineStr">
        <is>
          <t>LinkedIn job tracker status: Clicked Apply; location: Menomonee Falls, WI</t>
        </is>
      </c>
    </row>
    <row r="889">
      <c r="A889" t="inlineStr">
        <is>
          <t>Froedtert Health</t>
        </is>
      </c>
      <c r="B889" t="inlineStr">
        <is>
          <t>Cybersecurity Manager, Security Operations Team</t>
        </is>
      </c>
      <c r="C889" t="inlineStr">
        <is>
          <t>Applied (auto-submission via Simplify)</t>
        </is>
      </c>
      <c r="D889" t="inlineStr">
        <is>
          <t>LinkedIn (Simplify auto-apply, reconciled 2026-09-06)</t>
        </is>
      </c>
      <c r="E889" t="inlineStr">
        <is>
          <t>2026-09-06</t>
        </is>
      </c>
      <c r="F889" t="inlineStr">
        <is>
          <t>2026-09-06</t>
        </is>
      </c>
      <c r="G889" t="inlineStr">
        <is>
          <t>LinkedIn job tracker status: Clicked Apply; location: Menomonee Falls, WI</t>
        </is>
      </c>
    </row>
    <row r="890">
      <c r="A890" t="inlineStr">
        <is>
          <t>Pure Fishing</t>
        </is>
      </c>
      <c r="B890" t="inlineStr">
        <is>
          <t>Information Security Administrator</t>
        </is>
      </c>
      <c r="C890" t="inlineStr">
        <is>
          <t>Applied (auto-submission via Simplify)</t>
        </is>
      </c>
      <c r="D890" t="inlineStr">
        <is>
          <t>LinkedIn (Simplify auto-apply, reconciled 2026-09-06)</t>
        </is>
      </c>
      <c r="E890" t="inlineStr">
        <is>
          <t>2026-09-06</t>
        </is>
      </c>
      <c r="F890" t="inlineStr">
        <is>
          <t>2026-09-06</t>
        </is>
      </c>
      <c r="G890" t="inlineStr">
        <is>
          <t>LinkedIn job tracker status: Clicked Apply; location: Columbia, SC</t>
        </is>
      </c>
    </row>
    <row r="891">
      <c r="A891" t="inlineStr">
        <is>
          <t>Focused HR Solutions</t>
        </is>
      </c>
      <c r="B891" t="inlineStr">
        <is>
          <t>1-20- Security Analyst</t>
        </is>
      </c>
      <c r="C891" t="inlineStr">
        <is>
          <t>Applied (auto-submission via Simplify)</t>
        </is>
      </c>
      <c r="D891" t="inlineStr">
        <is>
          <t>LinkedIn (Simplify auto-apply, reconciled 2026-09-06)</t>
        </is>
      </c>
      <c r="E891" t="inlineStr">
        <is>
          <t>2026-09-06</t>
        </is>
      </c>
      <c r="F891" t="inlineStr">
        <is>
          <t>2026-09-06</t>
        </is>
      </c>
      <c r="G891" t="inlineStr">
        <is>
          <t>LinkedIn job tracker status: Clicked Apply; location: Columbia, SC (Remote)</t>
        </is>
      </c>
    </row>
    <row r="892">
      <c r="A892" t="inlineStr">
        <is>
          <t>Carpenter Technology Corporation</t>
        </is>
      </c>
      <c r="B892" t="inlineStr">
        <is>
          <t>Cybersecurity Professional</t>
        </is>
      </c>
      <c r="C892" t="inlineStr">
        <is>
          <t>Applied (auto-submission via Simplify)</t>
        </is>
      </c>
      <c r="D892" t="inlineStr">
        <is>
          <t>LinkedIn (Simplify auto-apply, reconciled 2026-09-06)</t>
        </is>
      </c>
      <c r="E892" t="inlineStr">
        <is>
          <t>2026-09-06</t>
        </is>
      </c>
      <c r="F892" t="inlineStr">
        <is>
          <t>2026-09-06</t>
        </is>
      </c>
      <c r="G892" t="inlineStr">
        <is>
          <t>LinkedIn job tracker status: Clicked Apply; location: Raleigh, NC</t>
        </is>
      </c>
    </row>
    <row r="893">
      <c r="A893" t="inlineStr">
        <is>
          <t>Eaton</t>
        </is>
      </c>
      <c r="B893" t="inlineStr">
        <is>
          <t>IT Program Manager - Cyber Compliance</t>
        </is>
      </c>
      <c r="C893" t="inlineStr">
        <is>
          <t>Applied (auto-submission via Simplify)</t>
        </is>
      </c>
      <c r="D893" t="inlineStr">
        <is>
          <t>LinkedIn (Simplify auto-apply, reconciled 2026-09-06)</t>
        </is>
      </c>
      <c r="E893" t="inlineStr">
        <is>
          <t>2026-09-06</t>
        </is>
      </c>
      <c r="F893" t="inlineStr">
        <is>
          <t>2026-09-06</t>
        </is>
      </c>
      <c r="G893" t="inlineStr">
        <is>
          <t>LinkedIn job tracker status: Clicked Apply; location: Houston, TX (Hybrid)</t>
        </is>
      </c>
    </row>
    <row r="894">
      <c r="A894" t="inlineStr">
        <is>
          <t>Newberry Health</t>
        </is>
      </c>
      <c r="B894" t="inlineStr">
        <is>
          <t>Security Analyst-FT</t>
        </is>
      </c>
      <c r="C894" t="inlineStr">
        <is>
          <t>Applied (auto-submission via Simplify)</t>
        </is>
      </c>
      <c r="D894" t="inlineStr">
        <is>
          <t>LinkedIn (Simplify auto-apply, reconciled 2026-09-06)</t>
        </is>
      </c>
      <c r="E894" t="inlineStr">
        <is>
          <t>2026-09-06</t>
        </is>
      </c>
      <c r="F894" t="inlineStr">
        <is>
          <t>2026-09-06</t>
        </is>
      </c>
      <c r="G894" t="inlineStr">
        <is>
          <t>LinkedIn job tracker status: Clicked Apply; location: Newberry, SC</t>
        </is>
      </c>
    </row>
    <row r="895">
      <c r="A895" t="inlineStr">
        <is>
          <t>Howard University Hospital</t>
        </is>
      </c>
      <c r="B895" t="inlineStr">
        <is>
          <t>Senior Cyber Security Engineer</t>
        </is>
      </c>
      <c r="C895" t="inlineStr">
        <is>
          <t>Applied (auto-submission via Simplify)</t>
        </is>
      </c>
      <c r="D895" t="inlineStr">
        <is>
          <t>LinkedIn (Simplify auto-apply, reconciled 2026-09-06)</t>
        </is>
      </c>
      <c r="E895" t="inlineStr">
        <is>
          <t>2026-09-06</t>
        </is>
      </c>
      <c r="F895" t="inlineStr">
        <is>
          <t>2026-09-06</t>
        </is>
      </c>
      <c r="G895" t="inlineStr">
        <is>
          <t>LinkedIn job tracker status: Clicked Apply; location: Washington, DC (On-site)</t>
        </is>
      </c>
    </row>
    <row r="896">
      <c r="A896" t="inlineStr">
        <is>
          <t>Ultra Clean Technology</t>
        </is>
      </c>
      <c r="B896" t="inlineStr">
        <is>
          <t>Lead GRC Analyst (IT/Security)</t>
        </is>
      </c>
      <c r="C896" t="inlineStr">
        <is>
          <t>Applied (auto-submission via Simplify)</t>
        </is>
      </c>
      <c r="D896" t="inlineStr">
        <is>
          <t>LinkedIn (Simplify auto-apply, reconciled 2026-09-06)</t>
        </is>
      </c>
      <c r="E896" t="inlineStr">
        <is>
          <t>2026-09-06</t>
        </is>
      </c>
      <c r="F896" t="inlineStr">
        <is>
          <t>2026-09-06</t>
        </is>
      </c>
      <c r="G896" t="inlineStr">
        <is>
          <t>LinkedIn job tracker status: Clicked Apply; location: Manor, TX</t>
        </is>
      </c>
    </row>
    <row r="897">
      <c r="A897" t="inlineStr">
        <is>
          <t>10a Labs</t>
        </is>
      </c>
      <c r="B897" t="inlineStr">
        <is>
          <t>Research Fellow</t>
        </is>
      </c>
      <c r="C897" t="inlineStr">
        <is>
          <t>Applied (auto-submission via Simplify)</t>
        </is>
      </c>
      <c r="D897" t="inlineStr">
        <is>
          <t>LinkedIn (Simplify auto-apply, reconciled 2026-09-06)</t>
        </is>
      </c>
      <c r="E897" t="inlineStr">
        <is>
          <t>2026-09-06</t>
        </is>
      </c>
      <c r="F897" t="inlineStr">
        <is>
          <t>2026-09-06</t>
        </is>
      </c>
      <c r="G897" t="inlineStr">
        <is>
          <t>LinkedIn job tracker status: Clicked Apply; location: Alexandria, VA (Hybrid)</t>
        </is>
      </c>
    </row>
    <row r="898">
      <c r="A898" t="inlineStr">
        <is>
          <t>10a Labs</t>
        </is>
      </c>
      <c r="B898" t="inlineStr">
        <is>
          <t>Cyber Investigator</t>
        </is>
      </c>
      <c r="C898" t="inlineStr">
        <is>
          <t>Applied (auto-submission via Simplify)</t>
        </is>
      </c>
      <c r="D898" t="inlineStr">
        <is>
          <t>LinkedIn (Simplify auto-apply, reconciled 2026-09-06)</t>
        </is>
      </c>
      <c r="E898" t="inlineStr">
        <is>
          <t>2026-09-06</t>
        </is>
      </c>
      <c r="F898" t="inlineStr">
        <is>
          <t>2026-09-06</t>
        </is>
      </c>
      <c r="G898" t="inlineStr">
        <is>
          <t>LinkedIn job tracker status: Clicked Apply; location: Washington, DC (Remote)</t>
        </is>
      </c>
    </row>
    <row r="899">
      <c r="A899" t="inlineStr">
        <is>
          <t>Pennant Services, Inc</t>
        </is>
      </c>
      <c r="B899" t="inlineStr">
        <is>
          <t>IT Auditor</t>
        </is>
      </c>
      <c r="C899" t="inlineStr">
        <is>
          <t>Applied (auto-submission via Simplify)</t>
        </is>
      </c>
      <c r="D899" t="inlineStr">
        <is>
          <t>LinkedIn (Simplify auto-apply, reconciled 2026-09-06)</t>
        </is>
      </c>
      <c r="E899" t="inlineStr">
        <is>
          <t>2026-09-06</t>
        </is>
      </c>
      <c r="F899" t="inlineStr">
        <is>
          <t>2026-09-06</t>
        </is>
      </c>
      <c r="G899" t="inlineStr">
        <is>
          <t>LinkedIn job tracker status: Clicked Apply; location: United States (Remote)</t>
        </is>
      </c>
    </row>
    <row r="900">
      <c r="A900" t="inlineStr">
        <is>
          <t>Medical College of Wisconsin</t>
        </is>
      </c>
      <c r="B900" t="inlineStr">
        <is>
          <t>Research Analyst</t>
        </is>
      </c>
      <c r="C900" t="inlineStr">
        <is>
          <t>Applied (auto-submission via Simplify)</t>
        </is>
      </c>
      <c r="D900" t="inlineStr">
        <is>
          <t>LinkedIn (Simplify auto-apply, reconciled 2026-09-06)</t>
        </is>
      </c>
      <c r="E900" t="inlineStr">
        <is>
          <t>2026-09-06</t>
        </is>
      </c>
      <c r="F900" t="inlineStr">
        <is>
          <t>2026-09-06</t>
        </is>
      </c>
      <c r="G900" t="inlineStr">
        <is>
          <t>LinkedIn job tracker status: Clicked Apply; location: Milwaukee, WI</t>
        </is>
      </c>
    </row>
    <row r="901">
      <c r="A901" t="inlineStr">
        <is>
          <t>TruStage</t>
        </is>
      </c>
      <c r="B901" t="inlineStr">
        <is>
          <t>Technology Vulnerability Remediation Specialist</t>
        </is>
      </c>
      <c r="C901" t="inlineStr">
        <is>
          <t>Applied (auto-submission via Simplify)</t>
        </is>
      </c>
      <c r="D901" t="inlineStr">
        <is>
          <t>LinkedIn (Simplify auto-apply, reconciled 2026-09-06)</t>
        </is>
      </c>
      <c r="E901" t="inlineStr">
        <is>
          <t>2026-09-06</t>
        </is>
      </c>
      <c r="F901" t="inlineStr">
        <is>
          <t>2026-09-06</t>
        </is>
      </c>
      <c r="G901" t="inlineStr">
        <is>
          <t>LinkedIn job tracker status: Clicked Apply; location: Madison, WI</t>
        </is>
      </c>
    </row>
    <row r="902">
      <c r="A902" t="inlineStr">
        <is>
          <t>Ladgov Corporation</t>
        </is>
      </c>
      <c r="B902" t="inlineStr">
        <is>
          <t>Cybersecurity Specialist</t>
        </is>
      </c>
      <c r="C902" t="inlineStr">
        <is>
          <t>Applied (auto-submission via Simplify)</t>
        </is>
      </c>
      <c r="D902" t="inlineStr">
        <is>
          <t>LinkedIn (Simplify auto-apply, reconciled 2026-09-06)</t>
        </is>
      </c>
      <c r="E902" t="inlineStr">
        <is>
          <t>2026-09-06</t>
        </is>
      </c>
      <c r="F902" t="inlineStr">
        <is>
          <t>2026-09-06</t>
        </is>
      </c>
      <c r="G902" t="inlineStr">
        <is>
          <t>LinkedIn job tracker status: Clicked Apply; location: Lansing, MI (On-site)</t>
        </is>
      </c>
    </row>
    <row r="903">
      <c r="A903" t="inlineStr">
        <is>
          <t>Frederick County Public Schools</t>
        </is>
      </c>
      <c r="B903" t="inlineStr">
        <is>
          <t>Information Systems Technology Trainer</t>
        </is>
      </c>
      <c r="C903" t="inlineStr">
        <is>
          <t>Applied (auto-submission via Simplify)</t>
        </is>
      </c>
      <c r="D903" t="inlineStr">
        <is>
          <t>LinkedIn (Simplify auto-apply, reconciled 2026-09-06)</t>
        </is>
      </c>
      <c r="E903" t="inlineStr">
        <is>
          <t>2026-09-06</t>
        </is>
      </c>
      <c r="F903" t="inlineStr">
        <is>
          <t>2026-09-06</t>
        </is>
      </c>
      <c r="G903" t="inlineStr">
        <is>
          <t>LinkedIn job tracker status: Clicked Apply; location: Frederick, MD</t>
        </is>
      </c>
    </row>
    <row r="904">
      <c r="A904" t="inlineStr">
        <is>
          <t>LG Energy Solution</t>
        </is>
      </c>
      <c r="B904" t="inlineStr">
        <is>
          <t>Specialist I, Information Security</t>
        </is>
      </c>
      <c r="C904" t="inlineStr">
        <is>
          <t>Applied (auto-submission via Simplify)</t>
        </is>
      </c>
      <c r="D904" t="inlineStr">
        <is>
          <t>LinkedIn (Simplify auto-apply, reconciled 2026-09-06)</t>
        </is>
      </c>
      <c r="E904" t="inlineStr">
        <is>
          <t>2026-09-06</t>
        </is>
      </c>
      <c r="F904" t="inlineStr">
        <is>
          <t>2026-09-06</t>
        </is>
      </c>
      <c r="G904" t="inlineStr">
        <is>
          <t>LinkedIn job tracker status: Clicked Apply; location: Lansing, MI (On-site)</t>
        </is>
      </c>
    </row>
    <row r="905">
      <c r="A905" t="inlineStr">
        <is>
          <t>Edgewood College</t>
        </is>
      </c>
      <c r="B905" t="inlineStr">
        <is>
          <t>TECHNOLOGY SUPPORT SPECIALIST</t>
        </is>
      </c>
      <c r="C905" t="inlineStr">
        <is>
          <t>Applied (auto-submission via Simplify)</t>
        </is>
      </c>
      <c r="D905" t="inlineStr">
        <is>
          <t>LinkedIn (Simplify auto-apply, reconciled 2026-09-06)</t>
        </is>
      </c>
      <c r="E905" t="inlineStr">
        <is>
          <t>2026-09-06</t>
        </is>
      </c>
      <c r="F905" t="inlineStr">
        <is>
          <t>2026-09-06</t>
        </is>
      </c>
      <c r="G905" t="inlineStr">
        <is>
          <t>LinkedIn job tracker status: Clicked Apply; location: Madison, WI</t>
        </is>
      </c>
    </row>
    <row r="906">
      <c r="A906" t="inlineStr">
        <is>
          <t>IBM</t>
        </is>
      </c>
      <c r="B906" t="inlineStr">
        <is>
          <t>IBM CISO - Cybersecurity Forensic Analyst</t>
        </is>
      </c>
      <c r="C906" t="inlineStr">
        <is>
          <t>Applied (auto-submission via Simplify)</t>
        </is>
      </c>
      <c r="D906" t="inlineStr">
        <is>
          <t>LinkedIn (Simplify auto-apply, reconciled 2026-09-06)</t>
        </is>
      </c>
      <c r="E906" t="inlineStr">
        <is>
          <t>2026-09-06</t>
        </is>
      </c>
      <c r="F906" t="inlineStr">
        <is>
          <t>2026-09-06</t>
        </is>
      </c>
      <c r="G906" t="inlineStr">
        <is>
          <t>LinkedIn job tracker status: Clicked Apply; location: Austin, TX (Hybrid)</t>
        </is>
      </c>
    </row>
    <row r="907">
      <c r="A907" t="inlineStr">
        <is>
          <t>Ameren Corporation</t>
        </is>
      </c>
      <c r="B907" t="inlineStr">
        <is>
          <t>IT Auditor II/Senior IT Auditor</t>
        </is>
      </c>
      <c r="C907" t="inlineStr">
        <is>
          <t>Applied (auto-submission via Simplify)</t>
        </is>
      </c>
      <c r="D907" t="inlineStr">
        <is>
          <t>LinkedIn (Simplify auto-apply, reconciled 2026-09-06)</t>
        </is>
      </c>
      <c r="E907" t="inlineStr">
        <is>
          <t>2026-09-06</t>
        </is>
      </c>
      <c r="F907" t="inlineStr">
        <is>
          <t>2026-09-06</t>
        </is>
      </c>
      <c r="G907" t="inlineStr">
        <is>
          <t>LinkedIn job tracker status: Clicked Apply; location: St Louis, MO (Hybrid)</t>
        </is>
      </c>
    </row>
    <row r="908">
      <c r="A908" t="inlineStr">
        <is>
          <t>Capital One</t>
        </is>
      </c>
      <c r="B908" t="inlineStr">
        <is>
          <t>Manager, Cyber Risk &amp; Analysis (International and Regulatory Risk)</t>
        </is>
      </c>
      <c r="C908" t="inlineStr">
        <is>
          <t>Applied</t>
        </is>
      </c>
      <c r="D908" t="inlineStr">
        <is>
          <t>LinkedIn</t>
        </is>
      </c>
      <c r="E908" t="inlineStr">
        <is>
          <t>2026-09-06</t>
        </is>
      </c>
      <c r="F908" t="inlineStr">
        <is>
          <t>2026-09-06</t>
        </is>
      </c>
      <c r="G908" t="inlineStr">
        <is>
          <t>Application Submitted! confirmation; Req R249846</t>
        </is>
      </c>
      <c r="H908" t="inlineStr">
        <is>
          <t>applications/2026-09-06_Capital-One_Manager-Cyber-Risk-Analysis-International-Regulatory</t>
        </is>
      </c>
    </row>
    <row r="909">
      <c r="A909" t="inlineStr">
        <is>
          <t>Apetan Consulting LLC</t>
        </is>
      </c>
      <c r="C909" t="inlineStr">
        <is>
          <t>Applied (auto-submission via LinkedIn Easy Apply)</t>
        </is>
      </c>
      <c r="D909" t="inlineStr">
        <is>
          <t>LinkedIn</t>
        </is>
      </c>
      <c r="E909" t="inlineStr">
        <is>
          <t>2026-08-30</t>
        </is>
      </c>
      <c r="F909" t="inlineStr">
        <is>
          <t>2026-08-30</t>
        </is>
      </c>
      <c r="G909" t="inlineStr">
        <is>
          <t>LinkedIn 'application was sent' confirmation</t>
        </is>
      </c>
    </row>
    <row r="910">
      <c r="A910" t="inlineStr">
        <is>
          <t>Troy University</t>
        </is>
      </c>
      <c r="B910" t="inlineStr">
        <is>
          <t>Senior Cybersecurity and Systems Engineer</t>
        </is>
      </c>
      <c r="C910" t="inlineStr">
        <is>
          <t>Applied - Not Selected</t>
        </is>
      </c>
      <c r="D910" t="inlineStr">
        <is>
          <t>direct</t>
        </is>
      </c>
      <c r="E910" t="inlineStr">
        <is>
          <t>2026-08-27</t>
        </is>
      </c>
      <c r="F910" t="inlineStr">
        <is>
          <t>2026-08-27</t>
        </is>
      </c>
      <c r="G910" t="inlineStr">
        <is>
          <t>"Your Recent Application for Employment" - candidate not selected for interview</t>
        </is>
      </c>
    </row>
    <row r="911">
      <c r="A911" t="inlineStr">
        <is>
          <t>Texas A&amp;M University - San Antonio</t>
        </is>
      </c>
      <c r="C911" t="inlineStr">
        <is>
          <t>Applied</t>
        </is>
      </c>
      <c r="D911" t="inlineStr">
        <is>
          <t>Workday</t>
        </is>
      </c>
      <c r="E911" t="inlineStr">
        <is>
          <t>2026-08-26</t>
        </is>
      </c>
      <c r="F911" t="inlineStr">
        <is>
          <t>2026-08-26</t>
        </is>
      </c>
      <c r="G911" t="inlineStr">
        <is>
          <t>Application status confirmation email</t>
        </is>
      </c>
    </row>
    <row r="912">
      <c r="A912" t="inlineStr">
        <is>
          <t>MassMutual</t>
        </is>
      </c>
      <c r="B912" t="inlineStr">
        <is>
          <t>Information Security Analyst (R20694)</t>
        </is>
      </c>
      <c r="C912" t="inlineStr">
        <is>
          <t>Applied - Rejected</t>
        </is>
      </c>
      <c r="D912" t="inlineStr">
        <is>
          <t>Workday</t>
        </is>
      </c>
      <c r="E912" t="inlineStr">
        <is>
          <t>2026-08-25</t>
        </is>
      </c>
      <c r="F912" t="inlineStr">
        <is>
          <t>2026-08-25</t>
        </is>
      </c>
      <c r="G912" t="inlineStr">
        <is>
          <t>"decided to pursue another candidate"</t>
        </is>
      </c>
    </row>
    <row r="913">
      <c r="A913" t="inlineStr">
        <is>
          <t>JPMorgan Chase</t>
        </is>
      </c>
      <c r="B913" t="inlineStr">
        <is>
          <t>(Job Number 210780967)</t>
        </is>
      </c>
      <c r="C913" t="inlineStr">
        <is>
          <t>Applied</t>
        </is>
      </c>
      <c r="D913" t="inlineStr">
        <is>
          <t>direct/Oracle Cloud</t>
        </is>
      </c>
      <c r="E913" t="inlineStr">
        <is>
          <t>2026-08-25</t>
        </is>
      </c>
      <c r="F913" t="inlineStr">
        <is>
          <t>2026-08-25</t>
        </is>
      </c>
      <c r="G913" t="inlineStr">
        <is>
          <t>"We received your job application"</t>
        </is>
      </c>
    </row>
    <row r="914">
      <c r="A914" t="inlineStr">
        <is>
          <t>Coconino Community College</t>
        </is>
      </c>
      <c r="B914" t="inlineStr">
        <is>
          <t>IT Security Administrator</t>
        </is>
      </c>
      <c r="C914" t="inlineStr">
        <is>
          <t>Applied - Posting Cancelled</t>
        </is>
      </c>
      <c r="D914" t="inlineStr">
        <is>
          <t>schooljobs.com</t>
        </is>
      </c>
      <c r="E914" t="inlineStr">
        <is>
          <t>2026-08-24</t>
        </is>
      </c>
      <c r="F914" t="inlineStr">
        <is>
          <t>2026-08-24</t>
        </is>
      </c>
      <c r="G914" t="inlineStr">
        <is>
          <t>"Cancellation of Job" notice - position cancelled after applying</t>
        </is>
      </c>
    </row>
    <row r="915">
      <c r="A915" t="inlineStr">
        <is>
          <t>Salt Lake Community College (UT)</t>
        </is>
      </c>
      <c r="C915" t="inlineStr">
        <is>
          <t>Applied</t>
        </is>
      </c>
      <c r="D915" t="inlineStr">
        <is>
          <t>schooljobs.com</t>
        </is>
      </c>
      <c r="E915" t="inlineStr">
        <is>
          <t>2026-08-20</t>
        </is>
      </c>
      <c r="F915" t="inlineStr">
        <is>
          <t>2026-08-20</t>
        </is>
      </c>
      <c r="G915" t="inlineStr">
        <is>
          <t>"Application received" confirmation</t>
        </is>
      </c>
    </row>
    <row r="916">
      <c r="A916" t="inlineStr">
        <is>
          <t>University of Toledo</t>
        </is>
      </c>
      <c r="B916" t="inlineStr">
        <is>
          <t>Associate Technology Support Administrator</t>
        </is>
      </c>
      <c r="C916" t="inlineStr">
        <is>
          <t>Applied</t>
        </is>
      </c>
      <c r="D916" t="inlineStr">
        <is>
          <t>pageuppeople</t>
        </is>
      </c>
      <c r="E916" t="inlineStr">
        <is>
          <t>2026-08-18</t>
        </is>
      </c>
      <c r="F916" t="inlineStr">
        <is>
          <t>2026-08-18</t>
        </is>
      </c>
      <c r="G916" t="inlineStr">
        <is>
          <t>"Application outcome" - processed</t>
        </is>
      </c>
    </row>
    <row r="917">
      <c r="A917" t="inlineStr">
        <is>
          <t>City of La Crosse</t>
        </is>
      </c>
      <c r="B917" t="inlineStr">
        <is>
          <t>IT Network and Cybersecurity Supervisor</t>
        </is>
      </c>
      <c r="C917" t="inlineStr">
        <is>
          <t>Applied - Status Update</t>
        </is>
      </c>
      <c r="D917" t="inlineStr">
        <is>
          <t>governmentjobs.com</t>
        </is>
      </c>
      <c r="E917" t="inlineStr">
        <is>
          <t>2026-08-17</t>
        </is>
      </c>
      <c r="F917" t="inlineStr">
        <is>
          <t>2026-08-17</t>
        </is>
      </c>
      <c r="G917" t="inlineStr">
        <is>
          <t>Application follow-up notice</t>
        </is>
      </c>
    </row>
    <row r="918">
      <c r="A918" t="inlineStr">
        <is>
          <t>University of Wisconsin Oshkosh</t>
        </is>
      </c>
      <c r="B918" t="inlineStr">
        <is>
          <t>Assistant, Associate, Full Professor - Computer Science</t>
        </is>
      </c>
      <c r="C918" t="inlineStr">
        <is>
          <t>Applied</t>
        </is>
      </c>
      <c r="D918" t="inlineStr">
        <is>
          <t>Workday</t>
        </is>
      </c>
      <c r="E918" t="inlineStr">
        <is>
          <t>2026-08-18</t>
        </is>
      </c>
      <c r="F918" t="inlineStr">
        <is>
          <t>2026-08-18</t>
        </is>
      </c>
      <c r="G918" t="inlineStr">
        <is>
          <t>"Thank You For Applying" confirmation</t>
        </is>
      </c>
    </row>
    <row r="919">
      <c r="A919" t="inlineStr">
        <is>
          <t>City of Cleveland</t>
        </is>
      </c>
      <c r="C919" t="inlineStr">
        <is>
          <t>Applied</t>
        </is>
      </c>
      <c r="D919" t="inlineStr">
        <is>
          <t>governmentjobs.com</t>
        </is>
      </c>
      <c r="E919" t="inlineStr">
        <is>
          <t>2026-08-18</t>
        </is>
      </c>
      <c r="F919" t="inlineStr">
        <is>
          <t>2026-08-18</t>
        </is>
      </c>
      <c r="G919" t="inlineStr">
        <is>
          <t>"Application received" confirmation</t>
        </is>
      </c>
    </row>
    <row r="920">
      <c r="A920" t="inlineStr">
        <is>
          <t>Johnston Community College</t>
        </is>
      </c>
      <c r="C920" t="inlineStr">
        <is>
          <t>Applied</t>
        </is>
      </c>
      <c r="D920" t="inlineStr">
        <is>
          <t>schooljobs.com</t>
        </is>
      </c>
      <c r="E920" t="inlineStr">
        <is>
          <t>2026-08-18</t>
        </is>
      </c>
      <c r="F920" t="inlineStr">
        <is>
          <t>2026-08-18</t>
        </is>
      </c>
      <c r="G920" t="inlineStr">
        <is>
          <t>"Application received" confirmation</t>
        </is>
      </c>
    </row>
    <row r="921">
      <c r="A921" t="inlineStr">
        <is>
          <t>VetComm</t>
        </is>
      </c>
      <c r="B921" t="inlineStr">
        <is>
          <t>GoHighLevel Systems Administrator - Google Workspace, Twilio &amp; SaaS</t>
        </is>
      </c>
      <c r="C921" t="inlineStr">
        <is>
          <t>Applied - Rejected</t>
        </is>
      </c>
      <c r="D921" t="inlineStr">
        <is>
          <t>Indeed</t>
        </is>
      </c>
      <c r="E921" t="inlineStr">
        <is>
          <t>2026-08-18</t>
        </is>
      </c>
      <c r="F921" t="inlineStr">
        <is>
          <t>2026-08-18</t>
        </is>
      </c>
      <c r="G921" t="inlineStr">
        <is>
          <t>"An update on your application" - not moving forward</t>
        </is>
      </c>
    </row>
    <row r="922">
      <c r="A922" t="inlineStr">
        <is>
          <t>Claflin University</t>
        </is>
      </c>
      <c r="B922" t="inlineStr">
        <is>
          <t>Assistant Professor of Computer Science (AI, Cybersecurity, Data Science, or Related Area)</t>
        </is>
      </c>
      <c r="C922" t="inlineStr">
        <is>
          <t>Unclear - possibly incomplete</t>
        </is>
      </c>
      <c r="D922" t="inlineStr">
        <is>
          <t>Paycom</t>
        </is>
      </c>
      <c r="E922" t="inlineStr">
        <is>
          <t>2026-08-11</t>
        </is>
      </c>
      <c r="F922" t="inlineStr">
        <is>
          <t>2026-08-11</t>
        </is>
      </c>
      <c r="G922" t="inlineStr">
        <is>
          <t>Multiple "Thank you for STARTING your application" emails (8/11, 8/13, 8/15) - no final submission confirmation found, may not have been completed</t>
        </is>
      </c>
    </row>
    <row r="923">
      <c r="A923" t="inlineStr">
        <is>
          <t>Marmon Foodservice Technologies, Inc.</t>
        </is>
      </c>
      <c r="B923" t="inlineStr">
        <is>
          <t>Information Security Specialist</t>
        </is>
      </c>
      <c r="C923" t="inlineStr">
        <is>
          <t>Applied</t>
        </is>
      </c>
      <c r="D923" t="inlineStr">
        <is>
          <t>Workday</t>
        </is>
      </c>
      <c r="E923" t="inlineStr">
        <is>
          <t>2026-08-14</t>
        </is>
      </c>
      <c r="F923" t="inlineStr">
        <is>
          <t>2026-08-14</t>
        </is>
      </c>
      <c r="G923" t="inlineStr">
        <is>
          <t>"Thank you for submitting an application" confirmation</t>
        </is>
      </c>
    </row>
    <row r="924">
      <c r="A924" t="inlineStr">
        <is>
          <t>University of Notre Dame</t>
        </is>
      </c>
      <c r="B924" t="inlineStr">
        <is>
          <t>Identity and Access Management Administrator (Remote)</t>
        </is>
      </c>
      <c r="C924" t="inlineStr">
        <is>
          <t>Applied - Status Update</t>
        </is>
      </c>
      <c r="D924" t="inlineStr">
        <is>
          <t>direct</t>
        </is>
      </c>
      <c r="E924" t="inlineStr">
        <is>
          <t>2026-08-13</t>
        </is>
      </c>
      <c r="F924" t="inlineStr">
        <is>
          <t>2026-08-13</t>
        </is>
      </c>
      <c r="G924" t="inlineStr">
        <is>
          <t>Application status update email</t>
        </is>
      </c>
    </row>
    <row r="925">
      <c r="A925" t="inlineStr">
        <is>
          <t>North Carolina Central University</t>
        </is>
      </c>
      <c r="B925" t="inlineStr">
        <is>
          <t>IT Security Professional I</t>
        </is>
      </c>
      <c r="C925" t="inlineStr">
        <is>
          <t>Applied - Not Selected</t>
        </is>
      </c>
      <c r="D925" t="inlineStr">
        <is>
          <t>direct</t>
        </is>
      </c>
      <c r="E925" t="inlineStr">
        <is>
          <t>2026-08-13</t>
        </is>
      </c>
      <c r="F925" t="inlineStr">
        <is>
          <t>2026-08-13</t>
        </is>
      </c>
      <c r="G925" t="inlineStr">
        <is>
          <t>Status update email; candidate replied thanking the hiring manager</t>
        </is>
      </c>
    </row>
    <row r="926">
      <c r="A926" t="inlineStr">
        <is>
          <t>lululemon</t>
        </is>
      </c>
      <c r="B926" t="inlineStr">
        <is>
          <t>Technology Director</t>
        </is>
      </c>
      <c r="C926" t="inlineStr">
        <is>
          <t>Applied - Not Selected</t>
        </is>
      </c>
      <c r="D926" t="inlineStr">
        <is>
          <t>direct</t>
        </is>
      </c>
      <c r="E926" t="inlineStr">
        <is>
          <t>2026-08-13</t>
        </is>
      </c>
      <c r="F926" t="inlineStr">
        <is>
          <t>2026-08-13</t>
        </is>
      </c>
      <c r="G926" t="inlineStr">
        <is>
          <t>"Update on Technology Director role" - moving forward with other candidates</t>
        </is>
      </c>
    </row>
    <row r="927">
      <c r="A927" t="inlineStr">
        <is>
          <t>West Virginia University</t>
        </is>
      </c>
      <c r="B927" t="inlineStr">
        <is>
          <t>(Remote) Information Security Analyst - Information Technology Services</t>
        </is>
      </c>
      <c r="C927" t="inlineStr">
        <is>
          <t>Applied</t>
        </is>
      </c>
      <c r="D927" t="inlineStr">
        <is>
          <t>direct</t>
        </is>
      </c>
      <c r="E927" t="inlineStr">
        <is>
          <t>2026-08-13</t>
        </is>
      </c>
      <c r="F927" t="inlineStr">
        <is>
          <t>2026-08-13</t>
        </is>
      </c>
      <c r="G927" t="inlineStr">
        <is>
          <t>"Thank You For Applying" confirmation</t>
        </is>
      </c>
    </row>
    <row r="928">
      <c r="A928" t="inlineStr">
        <is>
          <t>UIC / Bowhead</t>
        </is>
      </c>
      <c r="B928" t="inlineStr">
        <is>
          <t>Information System Security Manager (ISSM)</t>
        </is>
      </c>
      <c r="C928" t="inlineStr">
        <is>
          <t>Applied</t>
        </is>
      </c>
      <c r="D928" t="inlineStr">
        <is>
          <t>icims/Indeed</t>
        </is>
      </c>
      <c r="E928" t="inlineStr">
        <is>
          <t>2026-08-13</t>
        </is>
      </c>
      <c r="F928" t="inlineStr">
        <is>
          <t>2026-08-13</t>
        </is>
      </c>
      <c r="G928" t="inlineStr">
        <is>
          <t>"Thank you for your application" confirmation (icims)</t>
        </is>
      </c>
    </row>
    <row r="929">
      <c r="A929" t="inlineStr">
        <is>
          <t>Houston City College</t>
        </is>
      </c>
      <c r="B929" t="inlineStr">
        <is>
          <t>Manager, AI Applications Integration</t>
        </is>
      </c>
      <c r="C929" t="inlineStr">
        <is>
          <t>Applied</t>
        </is>
      </c>
      <c r="D929" t="inlineStr">
        <is>
          <t>HigherEdJobs</t>
        </is>
      </c>
      <c r="E929" t="inlineStr">
        <is>
          <t>2026-09-04</t>
        </is>
      </c>
      <c r="F929" t="inlineStr">
        <is>
          <t>2026-09-06</t>
        </is>
      </c>
      <c r="G929" t="inlineStr">
        <is>
          <t>Thank you! Process completed - Taleo confirmation page</t>
        </is>
      </c>
      <c r="H929" t="inlineStr">
        <is>
          <t>applications/2026-09-04_Houston-City-College_Manager-AI-Applications-Integration</t>
        </is>
      </c>
    </row>
    <row r="930">
      <c r="A930" t="inlineStr">
        <is>
          <t>OpenRouter</t>
        </is>
      </c>
      <c r="B930" t="inlineStr">
        <is>
          <t>Third-Party Risk Analyst</t>
        </is>
      </c>
      <c r="C930" t="inlineStr">
        <is>
          <t>Applied</t>
        </is>
      </c>
      <c r="D930" t="inlineStr">
        <is>
          <t>Leg B WebSearch (Ashby)</t>
        </is>
      </c>
      <c r="E930" t="inlineStr">
        <is>
          <t>2026-09-04</t>
        </is>
      </c>
      <c r="F930" t="inlineStr">
        <is>
          <t>2026-09-06</t>
        </is>
      </c>
      <c r="G930" t="inlineStr">
        <is>
          <t>Ashby "Your application was successfully submitted" confirmation</t>
        </is>
      </c>
      <c r="H930" t="inlineStr">
        <is>
          <t>applications/2026-09-04_OpenRouter_Third-Party-Risk-Analyst</t>
        </is>
      </c>
    </row>
    <row r="931">
      <c r="A931" t="inlineStr">
        <is>
          <t>Carnegie Mellon University</t>
        </is>
      </c>
      <c r="B931" t="inlineStr">
        <is>
          <t>Security Specialist / Information Security Compliance Specialist - Pittsburgh Supercomputing Center</t>
        </is>
      </c>
      <c r="C931" t="inlineStr">
        <is>
          <t>Applied</t>
        </is>
      </c>
      <c r="D931" t="inlineStr">
        <is>
          <t>HigherEdJobs email digest</t>
        </is>
      </c>
      <c r="E931" t="inlineStr">
        <is>
          <t>2026-09-05</t>
        </is>
      </c>
      <c r="F931" t="inlineStr">
        <is>
          <t>2026-09-06</t>
        </is>
      </c>
      <c r="G931" t="inlineStr">
        <is>
          <t>CMU Workday - Application Received (Job Req 2025084)</t>
        </is>
      </c>
      <c r="H931" t="inlineStr">
        <is>
          <t>applications/2026-09-05_Carnegie-Mellon-University_Security-Specialist-PSC</t>
        </is>
      </c>
    </row>
    <row r="932">
      <c r="A932" t="inlineStr">
        <is>
          <t>Penn State Berks</t>
        </is>
      </c>
      <c r="B932" t="inlineStr">
        <is>
          <t>Assistant Professor of Cybersecurity (tenure-track), REQ_0000081947</t>
        </is>
      </c>
      <c r="C932" t="inlineStr">
        <is>
          <t>Applied</t>
        </is>
      </c>
      <c r="D932" t="inlineStr">
        <is>
          <t>HigherEdJobs</t>
        </is>
      </c>
      <c r="E932" t="inlineStr">
        <is>
          <t>2026-09-04</t>
        </is>
      </c>
      <c r="F932" t="inlineStr">
        <is>
          <t>2026-09-06</t>
        </is>
      </c>
      <c r="G932" t="inlineStr">
        <is>
          <t>PSU Workday - Application Received (Job Req REQ_0000081947)</t>
        </is>
      </c>
      <c r="H932" t="inlineStr">
        <is>
          <t>applications/2026-09-04_Penn-State-Berks_Assistant-Professor-Cybersecurity</t>
        </is>
      </c>
    </row>
    <row r="933">
      <c r="A933" t="inlineStr">
        <is>
          <t>Cengage</t>
        </is>
      </c>
      <c r="B933" t="inlineStr">
        <is>
          <t>Director, Privacy (Remote)</t>
        </is>
      </c>
      <c r="C933" t="inlineStr">
        <is>
          <t>Found</t>
        </is>
      </c>
      <c r="D933" t="inlineStr">
        <is>
          <t>LinkedIn (user-supplied link)</t>
        </is>
      </c>
      <c r="E933" t="inlineStr">
        <is>
          <t>2026-09-06</t>
        </is>
      </c>
    </row>
    <row r="934">
      <c r="A934" t="inlineStr">
        <is>
          <t>FirstBank Puerto Rico</t>
        </is>
      </c>
      <c r="B934" t="inlineStr">
        <is>
          <t>GRC Analyst - Corp. IT Security</t>
        </is>
      </c>
      <c r="C934" t="inlineStr">
        <is>
          <t>Not Pursuing</t>
        </is>
      </c>
      <c r="D934" t="inlineStr">
        <is>
          <t>Indeed</t>
        </is>
      </c>
      <c r="E934" t="inlineStr">
        <is>
          <t>2026-09-05</t>
        </is>
      </c>
      <c r="H934" t="inlineStr">
        <is>
          <t>applications/2026-09-05_FirstBank-Puerto-Rico_GRC-Analyst</t>
        </is>
      </c>
    </row>
    <row r="935">
      <c r="A935" t="inlineStr">
        <is>
          <t>KLA</t>
        </is>
      </c>
      <c r="B935" t="inlineStr">
        <is>
          <t>AI Governance Lead</t>
        </is>
      </c>
      <c r="C935" t="inlineStr">
        <is>
          <t>Not Pursuing</t>
        </is>
      </c>
      <c r="D935" t="inlineStr">
        <is>
          <t>Indeed</t>
        </is>
      </c>
      <c r="E935" t="inlineStr">
        <is>
          <t>2026-09-05</t>
        </is>
      </c>
      <c r="H935" t="inlineStr">
        <is>
          <t>applications/2026-09-05_KLA_AI-Governance-Lead</t>
        </is>
      </c>
    </row>
    <row r="936">
      <c r="A936" t="inlineStr">
        <is>
          <t>St. Louis Community College</t>
        </is>
      </c>
      <c r="B936" t="inlineStr">
        <is>
          <t>Faculty - CIT Cybersecurity</t>
        </is>
      </c>
      <c r="C936" t="inlineStr">
        <is>
          <t>Not Pursuing</t>
        </is>
      </c>
      <c r="D936" t="inlineStr">
        <is>
          <t>HigherEdJobs</t>
        </is>
      </c>
      <c r="E936" t="inlineStr">
        <is>
          <t>2026-09-05</t>
        </is>
      </c>
      <c r="H936" t="inlineStr">
        <is>
          <t>applications/2026-09-05_St-Louis-Community-College_Faculty-CIT-Cybersecurity</t>
        </is>
      </c>
    </row>
    <row r="937">
      <c r="A937" t="inlineStr">
        <is>
          <t>Unity Environmental University</t>
        </is>
      </c>
      <c r="B937" t="inlineStr">
        <is>
          <t>Director of Information Systems</t>
        </is>
      </c>
      <c r="C937" t="inlineStr">
        <is>
          <t>Applied</t>
        </is>
      </c>
      <c r="D937" t="inlineStr">
        <is>
          <t>HigherEdJobs standing board (Leg A)</t>
        </is>
      </c>
      <c r="E937" t="inlineStr">
        <is>
          <t>2026-09-05</t>
        </is>
      </c>
      <c r="F937" t="inlineStr">
        <is>
          <t>2026-09-06</t>
        </is>
      </c>
      <c r="H937" t="inlineStr">
        <is>
          <t>applications/2026-09-05_Unity-Environmental-University_Director-of-Information-Systems</t>
        </is>
      </c>
    </row>
    <row r="938">
      <c r="A938" t="inlineStr">
        <is>
          <t>University of Alabama at Birmingham</t>
        </is>
      </c>
      <c r="B938" t="inlineStr">
        <is>
          <t>Information Systems Manager I - T237521</t>
        </is>
      </c>
      <c r="C938" t="inlineStr">
        <is>
          <t>Applied</t>
        </is>
      </c>
      <c r="D938" t="inlineStr">
        <is>
          <t>HigherEdJobs admin/IT board walk (Leg A)</t>
        </is>
      </c>
      <c r="E938" t="inlineStr">
        <is>
          <t>2026-09-06</t>
        </is>
      </c>
      <c r="F938" t="inlineStr">
        <is>
          <t>2026-09-06</t>
        </is>
      </c>
      <c r="G938" t="inlineStr">
        <is>
          <t>Thank You - Process completed</t>
        </is>
      </c>
      <c r="H938" t="inlineStr">
        <is>
          <t>applications/2026-09-06_UAB_Information-Systems-Manager-I</t>
        </is>
      </c>
    </row>
    <row r="939">
      <c r="A939" t="inlineStr">
        <is>
          <t>NTT DATA (NTT Ltd)</t>
        </is>
      </c>
      <c r="B939" t="inlineStr">
        <is>
          <t>Cybersecurity Audit &amp; Compliance Specialist - REMOTE</t>
        </is>
      </c>
      <c r="C939" t="inlineStr">
        <is>
          <t>Applied</t>
        </is>
      </c>
      <c r="D939" t="inlineStr">
        <is>
          <t>Indeed search Leg B</t>
        </is>
      </c>
      <c r="E939" t="inlineStr">
        <is>
          <t>2026-09-06</t>
        </is>
      </c>
      <c r="F939" t="inlineStr">
        <is>
          <t>2026-09-06</t>
        </is>
      </c>
      <c r="G939" t="inlineStr">
        <is>
          <t>Well done! You have successfully applied - alreadyApplied confirmation</t>
        </is>
      </c>
      <c r="H939" t="inlineStr">
        <is>
          <t>applications/2026-09-06_NTT-DATA_Cybersecurity-Audit-Compliance-Specialist</t>
        </is>
      </c>
    </row>
    <row r="940">
      <c r="A940" t="inlineStr">
        <is>
          <t>(Recruiter lead) IT firm - federal cyber contractor</t>
        </is>
      </c>
      <c r="B940" t="inlineStr">
        <is>
          <t>C-SCRM &amp; PQC SME - REMOTE</t>
        </is>
      </c>
      <c r="C940" t="inlineStr">
        <is>
          <t>Awaiting Reply</t>
        </is>
      </c>
      <c r="D940" t="inlineStr">
        <is>
          <t>LinkedIn recruiter DM - M. Laura Dell'Era</t>
        </is>
      </c>
      <c r="E940" t="inlineStr">
        <is>
          <t>2026-09-08</t>
        </is>
      </c>
    </row>
    <row r="941">
      <c r="A941" t="inlineStr">
        <is>
          <t>Marathon Petroleum (via Apex Systems)</t>
        </is>
      </c>
      <c r="B941" t="inlineStr">
        <is>
          <t>Cybersecurity Analyst - OT Compliance - REMOTE (12mo contract)</t>
        </is>
      </c>
      <c r="C941" t="inlineStr">
        <is>
          <t>Contacted</t>
        </is>
      </c>
      <c r="D941" t="inlineStr">
        <is>
          <t>LinkedIn recruiter DM - Haley Sanderson, Apex Systems</t>
        </is>
      </c>
      <c r="E941" t="inlineStr">
        <is>
          <t>2026-09-08</t>
        </is>
      </c>
    </row>
    <row r="942">
      <c r="A942" t="inlineStr">
        <is>
          <t>Houston Community College System (HCCS)</t>
        </is>
      </c>
      <c r="B942" t="inlineStr">
        <is>
          <t>Cyber Security Analyst</t>
        </is>
      </c>
      <c r="C942" t="inlineStr">
        <is>
          <t>Applied</t>
        </is>
      </c>
      <c r="D942" t="inlineStr">
        <is>
          <t>Self-submitted, Taleo (req 25003AE)</t>
        </is>
      </c>
      <c r="E942" t="inlineStr">
        <is>
          <t>2026-09-09</t>
        </is>
      </c>
      <c r="F942" t="inlineStr">
        <is>
          <t>2026-09-10</t>
        </is>
      </c>
      <c r="G942" t="inlineStr">
        <is>
          <t>Application Received - resubmitted after job-requirements change notice</t>
        </is>
      </c>
    </row>
    <row r="943">
      <c r="A943" t="inlineStr">
        <is>
          <t>Direct client via System One (recruiter Karan Bhatia)</t>
        </is>
      </c>
      <c r="B943" t="inlineStr">
        <is>
          <t>Senior Vulnerability Management Analyst - Hybrid (Direct Hire, No C2C)</t>
        </is>
      </c>
      <c r="C943" t="inlineStr">
        <is>
          <t>Awaiting Reply</t>
        </is>
      </c>
      <c r="D943" t="inlineStr">
        <is>
          <t>Email recruiter - Lafayette LA / Knoxville TN / Columbia SC / Birmingham AL</t>
        </is>
      </c>
      <c r="E943" t="inlineStr">
        <is>
          <t>2026-09-10</t>
        </is>
      </c>
    </row>
    <row r="944">
      <c r="A944" t="inlineStr">
        <is>
          <t>Quantum Sky (Tyto Athene client project)</t>
        </is>
      </c>
      <c r="B944" t="inlineStr">
        <is>
          <t>Cybersecurity Training Content Developer - REMOTE</t>
        </is>
      </c>
      <c r="C944" t="inlineStr">
        <is>
          <t>Not Pursuing</t>
        </is>
      </c>
      <c r="D944" t="inlineStr">
        <is>
          <t>iCIMS posting, pasted link</t>
        </is>
      </c>
      <c r="E944" t="inlineStr">
        <is>
          <t>2026-09-10</t>
        </is>
      </c>
    </row>
    <row r="945">
      <c r="A945" t="inlineStr">
        <is>
          <t>Bank (UltiPro/UKG tenant NAT1039)</t>
        </is>
      </c>
      <c r="B945" t="inlineStr">
        <is>
          <t>Manager, Data Strategy and Governance Office - Arlington VA (Hybrid)</t>
        </is>
      </c>
      <c r="C945" t="inlineStr">
        <is>
          <t>Not Pursuing</t>
        </is>
      </c>
      <c r="D945" t="inlineStr">
        <is>
          <t>UltiPro posting via LinkedIn, pasted link</t>
        </is>
      </c>
      <c r="E945" t="inlineStr">
        <is>
          <t>2026-09-10</t>
        </is>
      </c>
    </row>
    <row r="946">
      <c r="A946" t="inlineStr">
        <is>
          <t>KBR</t>
        </is>
      </c>
      <c r="B946" t="inlineStr">
        <is>
          <t>Information System Security Manager (ISSM) - Alexandria VA</t>
        </is>
      </c>
      <c r="C946" t="inlineStr">
        <is>
          <t>Not Pursuing</t>
        </is>
      </c>
      <c r="D946" t="inlineStr">
        <is>
          <t>KBR careers site via LinkedIn, pasted link</t>
        </is>
      </c>
      <c r="E946" t="inlineStr">
        <is>
          <t>2026-09-10</t>
        </is>
      </c>
    </row>
    <row r="947">
      <c r="A947" t="inlineStr">
        <is>
          <t>Cravath, Swaine &amp; Moore LLP</t>
        </is>
      </c>
      <c r="B947" t="inlineStr">
        <is>
          <t>Information Governance Manager - New York NY</t>
        </is>
      </c>
      <c r="C947" t="inlineStr">
        <is>
          <t>Not Pursuing</t>
        </is>
      </c>
      <c r="D947" t="inlineStr">
        <is>
          <t>iCIMS posting via LinkedIn, pasted link</t>
        </is>
      </c>
      <c r="E947" t="inlineStr">
        <is>
          <t>2026-09-10</t>
        </is>
      </c>
    </row>
    <row r="948">
      <c r="A948" t="inlineStr">
        <is>
          <t>Colorado School of Mines</t>
        </is>
      </c>
      <c r="B948" t="inlineStr">
        <is>
          <t>AI Solutions Manager - Golden CO (Hybrid)</t>
        </is>
      </c>
      <c r="C948" t="inlineStr">
        <is>
          <t>Found - Pending Decision (no visa sponsorship ever)</t>
        </is>
      </c>
      <c r="D948" t="inlineStr">
        <is>
          <t>HigherEdJobs, pasted link</t>
        </is>
      </c>
      <c r="E948" t="inlineStr">
        <is>
          <t>2026-09-10</t>
        </is>
      </c>
    </row>
    <row r="949">
      <c r="A949" t="inlineStr">
        <is>
          <t>University of Illinois Urbana-Champaign</t>
        </is>
      </c>
      <c r="B949" t="inlineStr">
        <is>
          <t>Deputy CIO / CISO and Privacy Officer</t>
        </is>
      </c>
      <c r="C949" t="inlineStr">
        <is>
          <t>Not Pursuing</t>
        </is>
      </c>
      <c r="D949" t="inlineStr">
        <is>
          <t>HigherEdJobs, pasted link</t>
        </is>
      </c>
      <c r="E949" t="inlineStr">
        <is>
          <t>2026-09-10</t>
        </is>
      </c>
    </row>
    <row r="950">
      <c r="A950" t="inlineStr">
        <is>
          <t>Georgia State University</t>
        </is>
      </c>
      <c r="B950" t="inlineStr">
        <is>
          <t>Website Coordinator, CEHD - Atlanta GA</t>
        </is>
      </c>
      <c r="C950" t="inlineStr">
        <is>
          <t>Found - Pending Decision</t>
        </is>
      </c>
      <c r="D950" t="inlineStr">
        <is>
          <t>HigherEdJobs, pasted link</t>
        </is>
      </c>
      <c r="E950" t="inlineStr">
        <is>
          <t>2026-09-10</t>
        </is>
      </c>
    </row>
    <row r="951">
      <c r="A951" t="inlineStr">
        <is>
          <t>Penn State (IT Information Security)</t>
        </is>
      </c>
      <c r="B951" t="inlineStr">
        <is>
          <t>Cybersecurity Systems Engineer</t>
        </is>
      </c>
      <c r="C951" t="inlineStr">
        <is>
          <t>Found - Pending Decision (strong fit, no future sponsorship)</t>
        </is>
      </c>
      <c r="D951" t="inlineStr">
        <is>
          <t>HigherEdJobs, pasted link</t>
        </is>
      </c>
      <c r="E951" t="inlineStr">
        <is>
          <t>2026-09-10</t>
        </is>
      </c>
    </row>
    <row r="952">
      <c r="A952" t="inlineStr">
        <is>
          <t>SUNY Rockland Community College</t>
        </is>
      </c>
      <c r="B952" t="inlineStr">
        <is>
          <t>Technical Support Specialist</t>
        </is>
      </c>
      <c r="C952" t="inlineStr">
        <is>
          <t>Found - Pending Decision (general IT helpdesk, deprioritized direction)</t>
        </is>
      </c>
      <c r="D952" t="inlineStr">
        <is>
          <t>HigherEdJobs, pasted link</t>
        </is>
      </c>
      <c r="E952" t="inlineStr">
        <is>
          <t>2026-09-10</t>
        </is>
      </c>
    </row>
    <row r="953">
      <c r="A953" t="inlineStr">
        <is>
          <t>University of New England</t>
        </is>
      </c>
      <c r="B953" t="inlineStr">
        <is>
          <t>Technical Support Specialist - Portland ME</t>
        </is>
      </c>
      <c r="C953" t="inlineStr">
        <is>
          <t>Found - Pending Decision (general IT helpdesk, deprioritized direction, possibly stale posting)</t>
        </is>
      </c>
      <c r="D953" t="inlineStr">
        <is>
          <t>HigherEdJobs, pasted link</t>
        </is>
      </c>
      <c r="E953" t="inlineStr">
        <is>
          <t>2026-09-10</t>
        </is>
      </c>
    </row>
    <row r="954">
      <c r="A954" t="inlineStr">
        <is>
          <t>University of Nebraska System</t>
        </is>
      </c>
      <c r="B954" t="inlineStr">
        <is>
          <t>IT Learning &amp; Training Specialist - Kearney/Lincoln/Omaha NE</t>
        </is>
      </c>
      <c r="C954" t="inlineStr">
        <is>
          <t>Found - Pending Decision (strong fit, no sponsorship)</t>
        </is>
      </c>
      <c r="D954" t="inlineStr">
        <is>
          <t>Nebraska jobs portal, pasted link</t>
        </is>
      </c>
      <c r="E954" t="inlineStr">
        <is>
          <t>2026-09-10</t>
        </is>
      </c>
    </row>
    <row r="955">
      <c r="A955" t="inlineStr">
        <is>
          <t>Pfizer</t>
        </is>
      </c>
      <c r="B955" t="inlineStr">
        <is>
          <t>Director, Digital Audit, Inspection &amp; Continuous Improvement - New York NY</t>
        </is>
      </c>
      <c r="C955" t="inlineStr">
        <is>
          <t>Not Pursuing</t>
        </is>
      </c>
      <c r="D955" t="inlineStr">
        <is>
          <t>LinkedIn, pasted link</t>
        </is>
      </c>
      <c r="E955" t="inlineStr">
        <is>
          <t>2026-09-10</t>
        </is>
      </c>
    </row>
    <row r="956">
      <c r="A956" t="inlineStr">
        <is>
          <t>Dana-Farber Cancer Institute</t>
        </is>
      </c>
      <c r="B956" t="inlineStr">
        <is>
          <t>Information Security Analyst - Boston MA (Hybrid)</t>
        </is>
      </c>
      <c r="C956" t="inlineStr">
        <is>
          <t>Applied</t>
        </is>
      </c>
      <c r="D956" t="inlineStr">
        <is>
          <t>Indeed, daily job search automation</t>
        </is>
      </c>
      <c r="E956" t="inlineStr">
        <is>
          <t>2026-09-09</t>
        </is>
      </c>
      <c r="F956" t="inlineStr">
        <is>
          <t>2026-09-10</t>
        </is>
      </c>
      <c r="G956" t="inlineStr">
        <is>
          <t>Submitted via Workday - In Progress</t>
        </is>
      </c>
      <c r="H956" t="inlineStr">
        <is>
          <t>applications/2026-09-09_Dana-Farber-Cancer-Institute_Information-Security-Analyst</t>
        </is>
      </c>
    </row>
    <row r="957">
      <c r="A957" t="inlineStr">
        <is>
          <t>St. John Fisher University</t>
        </is>
      </c>
      <c r="B957" t="inlineStr">
        <is>
          <t>Open Rank Professor, Computer Science/Cybersecurity - Rochester NY</t>
        </is>
      </c>
      <c r="C957" t="inlineStr">
        <is>
          <t>Not Pursuing</t>
        </is>
      </c>
      <c r="D957" t="inlineStr">
        <is>
          <t>jobs.sjf.edu, pasted link</t>
        </is>
      </c>
      <c r="E957" t="inlineStr">
        <is>
          <t>2026-09-10</t>
        </is>
      </c>
    </row>
    <row r="958">
      <c r="A958" t="inlineStr">
        <is>
          <t>Davidson College</t>
        </is>
      </c>
      <c r="B958" t="inlineStr">
        <is>
          <t>Assistant Professor of Computer Science</t>
        </is>
      </c>
      <c r="C958" t="inlineStr">
        <is>
          <t>Not Pursuing - staged folder deleted, blocked on user-only info (references/transcripts)</t>
        </is>
      </c>
      <c r="D958" t="inlineStr">
        <is>
          <t>Oracle Cloud posting, pasted link: https://fa-exci-saasfaprod1.fa.ocs.oraclecloud.com/hcmUI/CandidateExperience/en/sites/CX_2/job/1027 (Apply portal: https://employment.davidson.edu)</t>
        </is>
      </c>
      <c r="E958" t="inlineStr">
        <is>
          <t>2026-09-10</t>
        </is>
      </c>
      <c r="G958" t="inlineStr">
        <is>
          <t>Tenure-track, begins July 2027. Requires PhD (candidate has DEng in progress, gap named in application). Listed research areas (NLP, quantum, computer architecture, AI safety/ethics) do not include cybersecurity - gap named honestly. User explicitly said lets apply, overriding the not-recommended assessment.</t>
        </is>
      </c>
      <c r="H958" t="inlineStr">
        <is>
          <t>applications/2026-09-10_Davidson-College_Assistant-Professor-Computer-Science/</t>
        </is>
      </c>
    </row>
    <row r="959">
      <c r="A959" t="inlineStr">
        <is>
          <t>TD Bank</t>
        </is>
      </c>
      <c r="B959" t="inlineStr">
        <is>
          <t>Sr Information Security Analyst - Risk Assessment Governance</t>
        </is>
      </c>
      <c r="C959" t="inlineStr">
        <is>
          <t>Applied</t>
        </is>
      </c>
      <c r="D959" t="inlineStr">
        <is>
          <t>Indeed posting: https://www.indeed.com/viewjob?jk=968bdb4a83be9fd6</t>
        </is>
      </c>
      <c r="E959" t="inlineStr">
        <is>
          <t>2026-09-09</t>
        </is>
      </c>
      <c r="F959" t="inlineStr">
        <is>
          <t>2026-09-10</t>
        </is>
      </c>
      <c r="G959" t="inlineStr">
        <is>
          <t>Submitted via Workday - Application Received (Job Req R_1509383). Mount Laurel NJ, hybrid, $79,160-$127,670.</t>
        </is>
      </c>
      <c r="H959" t="inlineStr">
        <is>
          <t>applications/2026-09-09_TD-Bank_Senior-Information-Security-Analyst-Risk-Governance/</t>
        </is>
      </c>
    </row>
    <row r="960">
      <c r="A960" t="inlineStr">
        <is>
          <t>Westminster College</t>
        </is>
      </c>
      <c r="B960" t="inlineStr">
        <is>
          <t>Assistant Professor of Computer Science</t>
        </is>
      </c>
      <c r="C960" t="inlineStr">
        <is>
          <t>Not Pursuing</t>
        </is>
      </c>
      <c r="D960" t="inlineStr">
        <is>
          <t>https://www.higheredjobs.com/faculty/details.cfm?JobCode=179541773</t>
        </is>
      </c>
      <c r="E960" t="inlineStr">
        <is>
          <t>2026-09-10</t>
        </is>
      </c>
      <c r="G960" t="inlineStr">
        <is>
          <t>Requires PhD specifically (has DEng); role wants AI/ML specialization not cybersecurity - weak subject fit on top of degree gap. No sponsorship available but not an issue for him.</t>
        </is>
      </c>
    </row>
    <row r="961">
      <c r="A961" t="inlineStr">
        <is>
          <t>Grove City College</t>
        </is>
      </c>
      <c r="B961" t="inlineStr">
        <is>
          <t>Assistant/Associate/Full Professor of Computer Science</t>
        </is>
      </c>
      <c r="C961" t="inlineStr">
        <is>
          <t>Not Pursuing - staged folder deleted, blocked on user-only info (DEng date/pub framing; pastoral reference/faith statement)</t>
        </is>
      </c>
      <c r="D961" t="inlineStr">
        <is>
          <t>https://www.higheredjobs.com/faculty/details.cfm?JobCode=179541716</t>
        </is>
      </c>
      <c r="E961" t="inlineStr">
        <is>
          <t>2026-09-10</t>
        </is>
      </c>
      <c r="G961" t="inlineStr">
        <is>
          <t>Cybersecurity named as area of interest, flexible degree language (DEng-in-progress OK). Requires affirming Christian Statement of Faith and Grove City's Christian mission plus a pastoral reference - user confirmed he can honestly affirm this and wants to proceed.</t>
        </is>
      </c>
      <c r="H961" t="inlineStr">
        <is>
          <t>applications/2026-09-10_Grove-City-College_Assistant-Associate-Full-Professor-Computer-Science/</t>
        </is>
      </c>
    </row>
    <row r="962">
      <c r="A962" t="inlineStr">
        <is>
          <t>University of the Ozarks</t>
        </is>
      </c>
      <c r="B962" t="inlineStr">
        <is>
          <t>Assistant Professor of Information Science</t>
        </is>
      </c>
      <c r="C962" t="inlineStr">
        <is>
          <t>Blocked - needs current reference letters + diversity statement</t>
        </is>
      </c>
      <c r="D962" t="inlineStr">
        <is>
          <t>https://www.higheredjobs.com/faculty/details.cfm?JobCode=179549820</t>
        </is>
      </c>
      <c r="E962" t="inlineStr">
        <is>
          <t>2026-09-10</t>
        </is>
      </c>
      <c r="G962" t="inlineStr">
        <is>
          <t>Email-based application (not a portal); requires 3 CURRENT signed reference letters and a diversity statement. Only recommendation letters on file are old grad-school admission letters addressed to other institutions, not usable for a faculty search.</t>
        </is>
      </c>
      <c r="H962" t="inlineStr">
        <is>
          <t>applications/2026-09-10_University-of-the-Ozarks_Assistant-Professor-Information-Science/</t>
        </is>
      </c>
    </row>
    <row r="963">
      <c r="A963" t="inlineStr">
        <is>
          <t>Indiana Tech</t>
        </is>
      </c>
      <c r="B963" t="inlineStr">
        <is>
          <t>Computer Science and Computer Engineering Faculty</t>
        </is>
      </c>
      <c r="C963" t="inlineStr">
        <is>
          <t>Applied</t>
        </is>
      </c>
      <c r="D963" t="inlineStr">
        <is>
          <t>https://www.paycomonline.net/v4/ats/web.php/portal/9B7DD7DDF4B46DE388E0D590C86BBE1D/jobs/273240</t>
        </is>
      </c>
      <c r="E963" t="inlineStr">
        <is>
          <t>2026-09-10</t>
        </is>
      </c>
      <c r="F963" t="inlineStr">
        <is>
          <t>2026-09-10</t>
        </is>
      </c>
      <c r="G963" t="inlineStr">
        <is>
          <t>Fort Wayne IN, on-campus, requires relocation. Terminal degree preferred not required, MS satisfies minimum. No blockers.</t>
        </is>
      </c>
      <c r="H963" t="inlineStr">
        <is>
          <t>applications/2026-09-10_Indiana-Tech_Computer-Science-Computer-Engineering-Faculty/</t>
        </is>
      </c>
    </row>
    <row r="964">
      <c r="A964" t="inlineStr">
        <is>
          <t>Bowdoin College</t>
        </is>
      </c>
      <c r="B964" t="inlineStr">
        <is>
          <t>Lecturer in Computer Science</t>
        </is>
      </c>
      <c r="C964" t="inlineStr">
        <is>
          <t>Applied</t>
        </is>
      </c>
      <c r="D964" t="inlineStr">
        <is>
          <t>https://careers.bowdoin.edu/postings/18298</t>
        </is>
      </c>
      <c r="E964" t="inlineStr">
        <is>
          <t>2026-09-10</t>
        </is>
      </c>
      <c r="F964" t="inlineStr">
        <is>
          <t>2026-09-10</t>
        </is>
      </c>
      <c r="G964" t="inlineStr">
        <is>
          <t>Non-tenure lecturer line, degree flexible (master's or doctorate), core CS teaching focus not security-specific but no blockers. Visa sponsorship available (non-issue for him).</t>
        </is>
      </c>
      <c r="H964" t="inlineStr">
        <is>
          <t>applications/2026-09-10_Bowdoin-College_Lecturer-Computer-Science/</t>
        </is>
      </c>
    </row>
    <row r="965">
      <c r="A965" t="inlineStr">
        <is>
          <t>Cedarville University</t>
        </is>
      </c>
      <c r="B965" t="inlineStr">
        <is>
          <t>Assistant/Associate Professor of Computer Science</t>
        </is>
      </c>
      <c r="C965" t="inlineStr">
        <is>
          <t>Found - Pending Decision (staging)</t>
        </is>
      </c>
      <c r="D965" t="inlineStr">
        <is>
          <t>https://jobs.dayforcehcm.com/en-US/cedarville/faculty/jobs/2436</t>
        </is>
      </c>
      <c r="E965" t="inlineStr">
        <is>
          <t>2026-09-10</t>
        </is>
      </c>
      <c r="G965" t="inlineStr">
        <is>
          <t>Requires born-again Christian statement of faith, Doctrinal Statement, Community Covenant. User confirmed he can honestly affirm this and wants to proceed. Degree gap noted (wants PhD or MS+6yrs; he has MS+DEng in progress) to address in cover letter. H-1B sponsorship mentioned as available (non-issue).</t>
        </is>
      </c>
      <c r="H965" t="inlineStr">
        <is>
          <t>applications/2026-09-10_Cedarville-University_Assistant-Associate-Professor-Computer-Science/</t>
        </is>
      </c>
    </row>
    <row r="966">
      <c r="A966" t="inlineStr">
        <is>
          <t>Wilbur Wright College (City Colleges of Chicago)</t>
        </is>
      </c>
      <c r="B966" t="inlineStr">
        <is>
          <t>Full-Time Tenure-Track Faculty, Artificial Intelligence (AI)</t>
        </is>
      </c>
      <c r="C966" t="inlineStr">
        <is>
          <t>applied</t>
        </is>
      </c>
      <c r="D966" t="inlineStr">
        <is>
          <t>https://cccconnect.referrals.selectminds.com/jobs/full-time-tenure-track-faculty-–-artificial-intelligence-ai-8055</t>
        </is>
      </c>
      <c r="E966" t="inlineStr">
        <is>
          <t>2026-09-10</t>
        </is>
      </c>
      <c r="F966" t="inlineStr">
        <is>
          <t>2026-09-11</t>
        </is>
      </c>
      <c r="G966" t="inlineStr">
        <is>
          <t>Chicago residency required within 6 months - user confirmed willing to relocate. AI-driven threat detection research is a direct asset. No blockers.</t>
        </is>
      </c>
      <c r="H966" t="inlineStr">
        <is>
          <t>applications/2026-09-10_Wilbur-Wright-College_AI-Faculty/</t>
        </is>
      </c>
    </row>
    <row r="967">
      <c r="A967" t="inlineStr">
        <is>
          <t>SUNY Brockport</t>
        </is>
      </c>
      <c r="B967" t="inlineStr">
        <is>
          <t>Assistant Professor, Computing Sciences</t>
        </is>
      </c>
      <c r="C967" t="inlineStr">
        <is>
          <t>Applied</t>
        </is>
      </c>
      <c r="D967" t="inlineStr">
        <is>
          <t>https://www.schooljobs.com/careers/brockport/jobs/5468533/assistant-professor-computing-sciences</t>
        </is>
      </c>
      <c r="E967" t="inlineStr">
        <is>
          <t>2026-09-10</t>
        </is>
      </c>
      <c r="F967" t="inlineStr">
        <is>
          <t>2026-09-10</t>
        </is>
      </c>
      <c r="G967" t="inlineStr">
        <is>
          <t>Requires PhD specifically (has DEng expected 2027, matches Aug 2027 start) - applying anyway with cover letter addressing DEng/PhD equivalence. Not eligible for visa sponsorship (non-issue). $85,120/yr.</t>
        </is>
      </c>
    </row>
    <row r="968">
      <c r="A968" t="inlineStr">
        <is>
          <t>Kent State University (East Liverpool)</t>
        </is>
      </c>
      <c r="B968" t="inlineStr">
        <is>
          <t>Faculty Non-Tenure Track, 9-Month</t>
        </is>
      </c>
      <c r="C968" t="inlineStr">
        <is>
          <t>Applied</t>
        </is>
      </c>
      <c r="D968" t="inlineStr">
        <is>
          <t>https://jobs.kent.edu/jobs/faculty-non-tenure-track-9-mo-east-liverpool-campus-east-liverpool-oh-ohio-united-states</t>
        </is>
      </c>
      <c r="E968" t="inlineStr">
        <is>
          <t>2026-09-10</t>
        </is>
      </c>
      <c r="F968" t="inlineStr">
        <is>
          <t>2026-09-10</t>
        </is>
      </c>
      <c r="G968" t="inlineStr">
        <is>
          <t>Deadline September 22 2026 - time sensitive. Strong direct fit (cybersecurity/forensics/networking teaching), MS satisfies requirement, no blockers.</t>
        </is>
      </c>
    </row>
    <row r="969">
      <c r="A969" t="inlineStr">
        <is>
          <t>Coastal Carolina Community College</t>
        </is>
      </c>
      <c r="B969" t="inlineStr">
        <is>
          <t>Full-Time Permanent Instructor, Computer Programs</t>
        </is>
      </c>
      <c r="C969" t="inlineStr">
        <is>
          <t>Applied</t>
        </is>
      </c>
      <c r="D969" t="inlineStr">
        <is>
          <t>https://www.schooljobs.com/careers/coastalcarolina/jobs/5474641/full-time-permanent-instructor-computer-programs</t>
        </is>
      </c>
      <c r="E969" t="inlineStr">
        <is>
          <t>2026-09-10</t>
        </is>
      </c>
      <c r="F969" t="inlineStr">
        <is>
          <t>2026-09-10</t>
        </is>
      </c>
      <c r="G969" t="inlineStr">
        <is>
          <t>Jacksonville NC, ~$63,624/yr, bachelor's minimum easily exceeded. Posted start date looks stale, confirm with HR. Prefers Cisco/networking-certified candidates. No blockers.</t>
        </is>
      </c>
    </row>
    <row r="970">
      <c r="A970" t="inlineStr">
        <is>
          <t>Yeshiva College</t>
        </is>
      </c>
      <c r="B970" t="inlineStr">
        <is>
          <t>Tenure-Track Assistant Professor of Computer Science</t>
        </is>
      </c>
      <c r="C970" t="inlineStr">
        <is>
          <t>Not Pursuing</t>
        </is>
      </c>
      <c r="D970" t="inlineStr">
        <is>
          <t>https://careers.pageuppeople.com/876/cw/en-us/job/499017/yeshiva-college-computer-science-tenuretrack-assistant-professor-of-computer-science</t>
        </is>
      </c>
      <c r="E970" t="inlineStr">
        <is>
          <t>2026-09-10</t>
        </is>
      </c>
      <c r="G970" t="inlineStr">
        <is>
          <t>Requires teaching evaluations and published papers/patents as application materials; neither exist in his profile. User chose to skip rather than submit incomplete.</t>
        </is>
      </c>
    </row>
    <row r="971">
      <c r="A971" t="inlineStr">
        <is>
          <t>University of Wisconsin-Stout</t>
        </is>
      </c>
      <c r="B971" t="inlineStr">
        <is>
          <t>Assistant Professor of Computer Science</t>
        </is>
      </c>
      <c r="C971" t="inlineStr">
        <is>
          <t>Not Pursuing</t>
        </is>
      </c>
      <c r="D971" t="inlineStr">
        <is>
          <t>https://wisconsin.wd1.myworkdayjobs.com/en-US/UW_Comprehensives/job/Menomonie-WI/Assistant-Professor-of-Computer-Science_JR10014886</t>
        </is>
      </c>
      <c r="E971" t="inlineStr">
        <is>
          <t>2026-09-10</t>
        </is>
      </c>
      <c r="G971" t="inlineStr">
        <is>
          <t>DEAD LISTING - this is a DOL PERM notice confirming a foreign national has already been selected and the position is filled. Do not apply.</t>
        </is>
      </c>
    </row>
    <row r="972">
      <c r="A972" t="inlineStr">
        <is>
          <t>Berea College</t>
        </is>
      </c>
      <c r="B972" t="inlineStr">
        <is>
          <t>Assistant Professor of Computer Science (Tenure-Track or 3-Year Fixed-Term)</t>
        </is>
      </c>
      <c r="C972" t="inlineStr">
        <is>
          <t>Applied</t>
        </is>
      </c>
      <c r="D972" t="inlineStr">
        <is>
          <t>https://www.schooljobs.com/careers/berea/jobs/5474364/assistant-professor-of-computer-science-tenure-track-or-3-yr-fixed-term-positio</t>
        </is>
      </c>
      <c r="E972" t="inlineStr">
        <is>
          <t>2026-09-10</t>
        </is>
      </c>
      <c r="F972" t="inlineStr">
        <is>
          <t>2026-09-10</t>
        </is>
      </c>
      <c r="G972" t="inlineStr">
        <is>
          <t>Best fit of the recent batch - terminal degree wording (not PhD-specific) covers his DEng, 3-yr fixed-term track only needs Master's which he already has. AI/ML/cybersecurity/data science named as interest areas. No blockers.</t>
        </is>
      </c>
      <c r="H972" t="inlineStr">
        <is>
          <t>applications/2026-09-10_Berea-College_Assistant-Professor-Computer-Science/</t>
        </is>
      </c>
    </row>
    <row r="973">
      <c r="A973" t="inlineStr">
        <is>
          <t>City University of Seattle</t>
        </is>
      </c>
      <c r="B973" t="inlineStr">
        <is>
          <t>Program Director, Undergraduate Programs, School of Technology and Computing</t>
        </is>
      </c>
      <c r="C973" t="inlineStr">
        <is>
          <t>Not Pursuing - staged folder deleted, blocked on user-only info (DEng date/pub framing; pastoral reference/faith statement)</t>
        </is>
      </c>
      <c r="D973" t="inlineStr">
        <is>
          <t>https://cityu.interviewexchange.com/jobofferdetails.jsp?JOBID=204638&amp;jobboard=148</t>
        </is>
      </c>
      <c r="E973" t="inlineStr">
        <is>
          <t>2026-09-10</t>
        </is>
      </c>
      <c r="G973" t="inlineStr">
        <is>
          <t>Strong fit - AI/CS/Cybersecurity/Data Science program director role, OT/IoT security explicitly named. $105k-$115k. Verify DEng expected-2027 timeline and publication count (2+ in past 3 years required) actually clears their bar before final submission. No citizenship/visa blockers.</t>
        </is>
      </c>
      <c r="H973" t="inlineStr">
        <is>
          <t>applications/2026-09-10_City-University-of-Seattle_Program-Director/</t>
        </is>
      </c>
    </row>
    <row r="974">
      <c r="A974" t="inlineStr">
        <is>
          <t>John Deere</t>
        </is>
      </c>
      <c r="B974" t="inlineStr">
        <is>
          <t>Unresolved (pid=137483386221 does not load a distinct posting)</t>
        </is>
      </c>
      <c r="C974" t="inlineStr">
        <is>
          <t>Not Pursuing</t>
        </is>
      </c>
      <c r="D974" t="inlineStr">
        <is>
          <t>https://johndeere.eightfold.ai/careers (pid did not resolve)</t>
        </is>
      </c>
      <c r="E974" t="inlineStr">
        <is>
          <t>2026-09-10</t>
        </is>
      </c>
      <c r="G974" t="inlineStr">
        <is>
          <t>Link does not resolve to a real distinct job - only loads a generic search page defaulting to an unrelated part-time student role. Need a corrected URL to evaluate.</t>
        </is>
      </c>
    </row>
    <row r="975">
      <c r="A975" t="inlineStr">
        <is>
          <t>Sphinx Defense</t>
        </is>
      </c>
      <c r="B975" t="inlineStr">
        <is>
          <t>Cybersecurity Lead - Information System Security Manager (ISSM)</t>
        </is>
      </c>
      <c r="C975" t="inlineStr">
        <is>
          <t>Not Pursuing</t>
        </is>
      </c>
      <c r="D975" t="inlineStr">
        <is>
          <t>https://job-boards.greenhouse.io/sphinxdefense/jobs/5290422008</t>
        </is>
      </c>
      <c r="E975" t="inlineStr">
        <is>
          <t>2026-09-10</t>
        </is>
      </c>
      <c r="G975" t="inlineStr">
        <is>
          <t>Chantilly VA or Colorado Springs CO, $160k-$218k. Hard blockers: requires active Secret clearance (none held) and IAM Level III/CISSP/CISM-equivalent certification (none held, Security+ not yet in hand until May 2026). Also lacks classified-program experience. Two independent non-negotiable gates, not a stretch-and-apply case.</t>
        </is>
      </c>
    </row>
    <row r="976">
      <c r="A976" t="inlineStr">
        <is>
          <t>BCG Platinion</t>
        </is>
      </c>
      <c r="B976" t="inlineStr">
        <is>
          <t>Manager, Cybersecurity</t>
        </is>
      </c>
      <c r="C976" t="inlineStr">
        <is>
          <t>Applied</t>
        </is>
      </c>
      <c r="D976" t="inlineStr">
        <is>
          <t>https://careers.bcg.com/global/en/job/BCG1US58119EXTERNALENGLOBAL/BCG-Platinion-Manager-Cybersecurity</t>
        </is>
      </c>
      <c r="E976" t="inlineStr">
        <is>
          <t>2026-09-10</t>
        </is>
      </c>
      <c r="F976" t="inlineStr">
        <is>
          <t>2026-09-10</t>
        </is>
      </c>
      <c r="G976" t="inlineStr">
        <is>
          <t>18 US cities listed, Birmingham AL not among them - requires relocation. $190k base. No hard legal blockers. Strong subject-matter fit (NIST CSF/RMF, ISO 27001, CMMC, Zero Trust, vendor risk). Real gap named honestly: posting wants 6+ years cybersecurity consulting or managing teams of 5+; Cyntraix is a ~20-month-old solo practice, not team-management experience. User confirmed to stage despite this gap.</t>
        </is>
      </c>
      <c r="H976" t="inlineStr">
        <is>
          <t>applications/2026-09-10_BCG-Platinion_Manager-Cybersecurity/</t>
        </is>
      </c>
    </row>
    <row r="977">
      <c r="A977" t="inlineStr">
        <is>
          <t>Grainger</t>
        </is>
      </c>
      <c r="B977" t="inlineStr">
        <is>
          <t>GTG Intern - Cybersecurity</t>
        </is>
      </c>
      <c r="C977" t="inlineStr">
        <is>
          <t>Not Pursuing</t>
        </is>
      </c>
      <c r="D977" t="inlineStr">
        <is>
          <t>https://jobs.grainger.com/job/CHICAGO-GTG-Intern-Cybersecurity-IL-60661-4555/1419931000/</t>
        </is>
      </c>
      <c r="E977" t="inlineStr">
        <is>
          <t>2026-09-10</t>
        </is>
      </c>
      <c r="G977" t="inlineStr">
        <is>
          <t>Student internship requiring expected graduation Dec 2027-June 2028. User already holds a Master's, mid-doctorate, 5+ years professional/faculty experience - not a fit for a current-student internship program.</t>
        </is>
      </c>
    </row>
    <row r="978">
      <c r="A978" t="inlineStr">
        <is>
          <t>CNA</t>
        </is>
      </c>
      <c r="B978" t="inlineStr">
        <is>
          <t>Cybersecurity Intern - Summer 2027</t>
        </is>
      </c>
      <c r="C978" t="inlineStr">
        <is>
          <t>Not Pursuing</t>
        </is>
      </c>
      <c r="D978" t="inlineStr">
        <is>
          <t>https://jobs.dayforcehcm.com/en-US/cna/CANDIDATEPORTAL/jobs/7148</t>
        </is>
      </c>
      <c r="E978" t="inlineStr">
        <is>
          <t>2026-09-10</t>
        </is>
      </c>
      <c r="G978" t="inlineStr">
        <is>
          <t>Requires current enrollment as junior/senior undergrad or grad student, on-site Arlington VA 5 days/week, entry-level ticket-support scope. Not a fit for his career stage.</t>
        </is>
      </c>
    </row>
    <row r="979">
      <c r="A979" t="inlineStr">
        <is>
          <t>Kyowa Kirin North America</t>
        </is>
      </c>
      <c r="B979" t="inlineStr">
        <is>
          <t>2027 Summer Intern - Cybersecurity</t>
        </is>
      </c>
      <c r="C979" t="inlineStr">
        <is>
          <t>Not Pursuing</t>
        </is>
      </c>
      <c r="D979" t="inlineStr">
        <is>
          <t>https://job-boards.greenhouse.io/kyowakirinusa90/jobs/7988856003</t>
        </is>
      </c>
      <c r="E979" t="inlineStr">
        <is>
          <t>2026-09-10</t>
        </is>
      </c>
      <c r="G979" t="inlineStr">
        <is>
          <t>Requires rising sophomore/junior/senior undergrad enrollment, $23-26/hr. Not a fit for his career stage.</t>
        </is>
      </c>
    </row>
    <row r="980">
      <c r="A980" t="inlineStr">
        <is>
          <t>Sensiba</t>
        </is>
      </c>
      <c r="B980" t="inlineStr">
        <is>
          <t>Senior GRC Analyst I, SOC 1 &amp; SOC 2</t>
        </is>
      </c>
      <c r="C980" t="inlineStr">
        <is>
          <t>Applied</t>
        </is>
      </c>
      <c r="D980" t="inlineStr">
        <is>
          <t>https://sensiba.com/careers/current-opportunities/ (specific role found within general careers listing)</t>
        </is>
      </c>
      <c r="E980" t="inlineStr">
        <is>
          <t>2026-09-10</t>
        </is>
      </c>
      <c r="F980" t="inlineStr">
        <is>
          <t>2026-09-10</t>
        </is>
      </c>
      <c r="G980" t="inlineStr">
        <is>
          <t>Fully remote US, $66,400-$101,000 depending on zone. No hard blockers. Real gap named honestly: his background is security-consulting/NIST-CMMC advisory rather than formal SOC 1/SOC 2 audit leadership experience, and he lacks CISA/CISSP (has Security+ pending, not yet in hand). User confirmed to stage despite this gap.</t>
        </is>
      </c>
      <c r="H980" t="inlineStr">
        <is>
          <t>applications/2026-09-10_Sensiba_Senior-GRC-Analyst-SOC/</t>
        </is>
      </c>
    </row>
    <row r="981">
      <c r="A981" t="inlineStr">
        <is>
          <t>Shamrock Trading Corporation</t>
        </is>
      </c>
      <c r="B981" t="inlineStr">
        <is>
          <t>Security Analyst (Req #541)</t>
        </is>
      </c>
      <c r="C981" t="inlineStr">
        <is>
          <t>Applied</t>
        </is>
      </c>
      <c r="D981" t="inlineStr">
        <is>
          <t>https://jobs.dayforcehcm.com/en-US/shamrocktc/CANDIDATEPORTAL/jobs/3523</t>
        </is>
      </c>
      <c r="E981" t="inlineStr">
        <is>
          <t>2026-09-10</t>
        </is>
      </c>
      <c r="F981" t="inlineStr">
        <is>
          <t>2026-09-10</t>
        </is>
      </c>
      <c r="G981" t="inlineStr">
        <is>
          <t>Confirmation number: yhqOckEH</t>
        </is>
      </c>
      <c r="H981" t="inlineStr">
        <is>
          <t>applications/2026-09-10_Shamrock-Trading_Security-Analyst/</t>
        </is>
      </c>
    </row>
    <row r="982">
      <c r="A982" t="inlineStr">
        <is>
          <t>Evergy</t>
        </is>
      </c>
      <c r="B982" t="inlineStr">
        <is>
          <t>Intern, Control Systems Engineering and Cybersecurity</t>
        </is>
      </c>
      <c r="C982" t="inlineStr">
        <is>
          <t>Not Pursuing</t>
        </is>
      </c>
      <c r="D982" t="inlineStr">
        <is>
          <t>https://evergy.taleo.net/careersection/evergy_campus_career_section/jobdetail.ftl?job=INF00EY&amp;lang=en</t>
        </is>
      </c>
      <c r="E982" t="inlineStr">
        <is>
          <t>2026-09-10</t>
        </is>
      </c>
      <c r="G982" t="inlineStr">
        <is>
          <t>Student internship - requires current enrollment in EE/CompE/Cyber Security program. Not eligible given his career stage (faculty, mid-doctorate, consulting founder).</t>
        </is>
      </c>
    </row>
    <row r="983">
      <c r="A983" t="inlineStr">
        <is>
          <t>CNA</t>
        </is>
      </c>
      <c r="B983" t="inlineStr">
        <is>
          <t>Service Desk Intern - Summer 2027 (Req 7162)</t>
        </is>
      </c>
      <c r="C983" t="inlineStr">
        <is>
          <t>Not Pursuing</t>
        </is>
      </c>
      <c r="D983" t="inlineStr">
        <is>
          <t>https://jobs.dayforcehcm.com/en-US/cna/CANDIDATEPORTAL/jobs/7162</t>
        </is>
      </c>
      <c r="E983" t="inlineStr">
        <is>
          <t>2026-09-10</t>
        </is>
      </c>
      <c r="G983" t="inlineStr">
        <is>
          <t>Student internship - requires current junior/senior undergrad or grad enrollment. Different req than previously evaluated CNA posting (7148) but same conclusion.</t>
        </is>
      </c>
    </row>
    <row r="984">
      <c r="A984" t="inlineStr">
        <is>
          <t>Clearwater</t>
        </is>
      </c>
      <c r="B984" t="inlineStr">
        <is>
          <t>Cybersecurity Consulting Intern</t>
        </is>
      </c>
      <c r="C984" t="inlineStr">
        <is>
          <t>Not Pursuing</t>
        </is>
      </c>
      <c r="D984" t="inlineStr">
        <is>
          <t>https://job-boards.greenhouse.io/clearwater-early-careers/jobs/4385977009</t>
        </is>
      </c>
      <c r="E984" t="inlineStr">
        <is>
          <t>2026-09-10</t>
        </is>
      </c>
      <c r="G984" t="inlineStr">
        <is>
          <t>Student internship - requires current enrollment with anticipated graduation Summer 2027 or later. Posting itself directs non-students to their Junior Cybersecurity Consultant role, which was already evaluated separately and marked Not Pursuing.</t>
        </is>
      </c>
    </row>
    <row r="985">
      <c r="A985" t="inlineStr">
        <is>
          <t>United Launch Alliance (ULA)</t>
        </is>
      </c>
      <c r="B985" t="inlineStr">
        <is>
          <t>Cyber Security Internship - Summer 2027</t>
        </is>
      </c>
      <c r="C985" t="inlineStr">
        <is>
          <t>Not Pursuing</t>
        </is>
      </c>
      <c r="D985" t="inlineStr">
        <is>
          <t>https://jobs.ulalaunch.com/job/Centennial-Cyber-Security-Internship-Summer-2027-CO-80112/1427397700/</t>
        </is>
      </c>
      <c r="E985" t="inlineStr">
        <is>
          <t>2026-09-10</t>
        </is>
      </c>
      <c r="G985" t="inlineStr">
        <is>
          <t>Student internship - requires actively pursuing bachelors degree, enrolled through Fall 2027. Citizenship/ITAR U.S. Person clause would likely be satisfiable but is moot given the absolute enrollment requirement.</t>
        </is>
      </c>
    </row>
    <row r="986">
      <c r="A986" t="inlineStr">
        <is>
          <t>California Institute of Applied Technology (CIAT)</t>
        </is>
      </c>
      <c r="B986" t="inlineStr">
        <is>
          <t>IT Certification Bootcamp Instructor - Cisco CCNA</t>
        </is>
      </c>
      <c r="C986" t="inlineStr">
        <is>
          <t>Applied</t>
        </is>
      </c>
      <c r="D986" t="inlineStr">
        <is>
          <t>https://job-boards.greenhouse.io/californiainstituteofartsandtechnology/jobs/4284408009</t>
        </is>
      </c>
      <c r="E986" t="inlineStr">
        <is>
          <t>2026-09-10</t>
        </is>
      </c>
      <c r="F986" t="inlineStr">
        <is>
          <t>2026-09-10</t>
        </is>
      </c>
      <c r="G986" t="inlineStr">
        <is>
          <t>Remote restricted to CA/NM/FL/MA residents only; answered residency question honestly as Somewhere else (user aware this likely disqualifies). $42/hr desired.</t>
        </is>
      </c>
      <c r="H986" t="inlineStr">
        <is>
          <t>applications/2026-09-10_California-Institute-of-Applied-Technology_IT-Certification-Bootcamp-Instructor-Cisco-CCNA/</t>
        </is>
      </c>
    </row>
    <row r="987">
      <c r="A987" t="inlineStr">
        <is>
          <t>DataAnnotation</t>
        </is>
      </c>
      <c r="B987" t="inlineStr">
        <is>
          <t>Product Security Engineer - AI Trainer</t>
        </is>
      </c>
      <c r="C987" t="inlineStr">
        <is>
          <t>Not Pursuing - requires account signup for Starter Assessment</t>
        </is>
      </c>
      <c r="D987" t="inlineStr">
        <is>
          <t>https://www.dataannotation.tech/</t>
        </is>
      </c>
      <c r="E987" t="inlineStr">
        <is>
          <t>2026-09-10</t>
        </is>
      </c>
      <c r="H987" t="inlineStr">
        <is>
          <t>applications/2026-09-10_DataAnnotation_Product-Security-Engineer-AI-Trainer/</t>
        </is>
      </c>
    </row>
    <row r="988">
      <c r="A988" t="inlineStr">
        <is>
          <t>Disney Experiences</t>
        </is>
      </c>
      <c r="B988" t="inlineStr">
        <is>
          <t>Compliance Analyst</t>
        </is>
      </c>
      <c r="C988" t="inlineStr">
        <is>
          <t>Applied</t>
        </is>
      </c>
      <c r="D988" t="inlineStr">
        <is>
          <t>https://www.disneycareers.com/en/job/-/-/391/100359863792?codes=INDEED</t>
        </is>
      </c>
      <c r="E988" t="inlineStr">
        <is>
          <t>2026-09-10</t>
        </is>
      </c>
      <c r="F988" t="inlineStr">
        <is>
          <t>2026-09-10</t>
        </is>
      </c>
      <c r="H988" t="inlineStr">
        <is>
          <t>applications/2026-09-10_Disney-Experiences_Compliance-Analyst/</t>
        </is>
      </c>
    </row>
    <row r="989">
      <c r="A989" t="inlineStr">
        <is>
          <t>PPL Services Corporation</t>
        </is>
      </c>
      <c r="B989" t="inlineStr">
        <is>
          <t>Intermediate Cybersecurity Risk Analyst</t>
        </is>
      </c>
      <c r="C989" t="inlineStr">
        <is>
          <t>Applied</t>
        </is>
      </c>
      <c r="D989" t="inlineStr">
        <is>
          <t>https://www.indeed.com/viewjob?jk=d1288c96404675f6</t>
        </is>
      </c>
      <c r="E989" t="inlineStr">
        <is>
          <t>2026-09-10</t>
        </is>
      </c>
      <c r="F989" t="inlineStr">
        <is>
          <t>2026-09-10</t>
        </is>
      </c>
      <c r="H989" t="inlineStr">
        <is>
          <t>applications/2026-09-10_PPL-Services-Corporation_Intermediate-Cybersecurity-Risk-Analyst/</t>
        </is>
      </c>
    </row>
    <row r="990">
      <c r="A990" t="inlineStr">
        <is>
          <t>University of Utah - SCI Institute</t>
        </is>
      </c>
      <c r="B990" t="inlineStr">
        <is>
          <t>Technical Program Manager (III/IV)</t>
        </is>
      </c>
      <c r="C990" t="inlineStr">
        <is>
          <t>Not Pursuing - citizen-only restriction on federally funded research</t>
        </is>
      </c>
      <c r="D990" t="inlineStr">
        <is>
          <t>https://utah.peopleadmin.com/postings/208919</t>
        </is>
      </c>
      <c r="E990" t="inlineStr">
        <is>
          <t>2026-09-10</t>
        </is>
      </c>
      <c r="H990" t="inlineStr">
        <is>
          <t>applications/2026-09-10_University-of-Utah_Technical-Program-Manager/</t>
        </is>
      </c>
    </row>
    <row r="991">
      <c r="A991" t="inlineStr">
        <is>
          <t>Stafford Technology</t>
        </is>
      </c>
      <c r="B991" t="inlineStr">
        <is>
          <t>Cybersecurity Analyst - Direct Hire, Hybrid (Columbus, OH)</t>
        </is>
      </c>
      <c r="C991" t="inlineStr">
        <is>
          <t>Applied - via Indeed Smart Apply, 2026-09-10</t>
        </is>
      </c>
      <c r="D991" t="inlineStr">
        <is>
          <t>https://www.indeed.com/viewjob?jk=a36fb13012937cb1</t>
        </is>
      </c>
      <c r="E991" t="inlineStr">
        <is>
          <t>2026-09-08</t>
        </is>
      </c>
      <c r="F991" t="inlineStr">
        <is>
          <t>2026-09-10</t>
        </is>
      </c>
      <c r="H991" t="inlineStr">
        <is>
          <t>applications/2026-09-08_Stafford-Technology_Cybersecurity-Analyst/</t>
        </is>
      </c>
    </row>
    <row r="992">
      <c r="A992" t="inlineStr">
        <is>
          <t>Cochise College</t>
        </is>
      </c>
      <c r="B992" t="inlineStr">
        <is>
          <t>FT Instructor of Cybersecurity/Computer Information Systems/Networking</t>
        </is>
      </c>
      <c r="C992" t="inlineStr">
        <is>
          <t>applied</t>
        </is>
      </c>
      <c r="D992" t="inlineStr">
        <is>
          <t>HigherEdJobs</t>
        </is>
      </c>
      <c r="E992" t="inlineStr">
        <is>
          <t>2026-09-09</t>
        </is>
      </c>
      <c r="F992" t="inlineStr">
        <is>
          <t>2026-09-10</t>
        </is>
      </c>
      <c r="H992" t="inlineStr">
        <is>
          <t>2026-09-09_Cochise-College_Instructor-Cybersecurity-CIS-Networking\status.json</t>
        </is>
      </c>
    </row>
    <row r="993">
      <c r="A993" t="inlineStr">
        <is>
          <t>College of the Holy Cross</t>
        </is>
      </c>
      <c r="B993" t="inlineStr">
        <is>
          <t>AI Solutions Engineer</t>
        </is>
      </c>
      <c r="C993" t="inlineStr">
        <is>
          <t>applied</t>
        </is>
      </c>
      <c r="D993" t="inlineStr">
        <is>
          <t>HigherEdJobs</t>
        </is>
      </c>
      <c r="E993" t="inlineStr">
        <is>
          <t>2026-09-11</t>
        </is>
      </c>
      <c r="F993" t="inlineStr">
        <is>
          <t>2026-09-11</t>
        </is>
      </c>
      <c r="H993" t="inlineStr">
        <is>
          <t>2026-09-11_College-of-the-Holy-Cross_AI-Solutions-Engineer\status.json</t>
        </is>
      </c>
    </row>
    <row r="994">
      <c r="A994" t="inlineStr">
        <is>
          <t>Houston Community College</t>
        </is>
      </c>
      <c r="B994" t="inlineStr">
        <is>
          <t>Cyber Security Analyst</t>
        </is>
      </c>
      <c r="C994" t="inlineStr">
        <is>
          <t>closed</t>
        </is>
      </c>
      <c r="D994" t="inlineStr">
        <is>
          <t>HigherEdJobs</t>
        </is>
      </c>
      <c r="E994" t="inlineStr">
        <is>
          <t>2026-09-11</t>
        </is>
      </c>
      <c r="H994" t="inlineStr">
        <is>
          <t>2026-09-11_Houston-City-College_Cyber-Security-Analyst\status.json</t>
        </is>
      </c>
    </row>
    <row r="995">
      <c r="A995" t="inlineStr">
        <is>
          <t>Salem State University</t>
        </is>
      </c>
      <c r="B995" t="inlineStr">
        <is>
          <t>Faculty: Computer Science (AI and Machine Learning), Full-Time, Tenure-Track</t>
        </is>
      </c>
      <c r="C995" t="inlineStr">
        <is>
          <t>not_pursuing</t>
        </is>
      </c>
      <c r="D995" t="inlineStr">
        <is>
          <t>HigherEdJobs</t>
        </is>
      </c>
      <c r="E995" t="inlineStr">
        <is>
          <t>2026-09-11</t>
        </is>
      </c>
      <c r="H995" t="inlineStr">
        <is>
          <t>2026-09-11_Salem-State-University_Faculty-Computer-Science-AI-Machine-Learning\status.json</t>
        </is>
      </c>
    </row>
    <row r="996">
      <c r="A996" t="inlineStr">
        <is>
          <t>Concord University</t>
        </is>
      </c>
      <c r="B996" t="inlineStr">
        <is>
          <t>Assistant Professor of Computer Science</t>
        </is>
      </c>
      <c r="C996" t="inlineStr">
        <is>
          <t>applied</t>
        </is>
      </c>
      <c r="D996" t="inlineStr">
        <is>
          <t>HigherEdJobs</t>
        </is>
      </c>
      <c r="E996" t="inlineStr">
        <is>
          <t>2026-09-11</t>
        </is>
      </c>
      <c r="F996" t="inlineStr">
        <is>
          <t>2026-09-11</t>
        </is>
      </c>
      <c r="H996" t="inlineStr">
        <is>
          <t>2026-09-11_Concord-University_Assistant-Professor-Computer-Science\status.json</t>
        </is>
      </c>
    </row>
    <row r="997">
      <c r="A997" t="inlineStr">
        <is>
          <t>Wolfe, LLC</t>
        </is>
      </c>
      <c r="B997" t="inlineStr">
        <is>
          <t>Senior GRC Analyst</t>
        </is>
      </c>
      <c r="C997" t="inlineStr">
        <is>
          <t>staged</t>
        </is>
      </c>
      <c r="D997" t="inlineStr">
        <is>
          <t>Indeed</t>
        </is>
      </c>
      <c r="E997" t="inlineStr">
        <is>
          <t>2026-09-11</t>
        </is>
      </c>
      <c r="H997" t="inlineStr">
        <is>
          <t>2026-09-11_Wolfe-LLC_Senior-GRC-Analyst</t>
        </is>
      </c>
    </row>
    <row r="998">
      <c r="A998" t="inlineStr">
        <is>
          <t>Chestnut Hill College</t>
        </is>
      </c>
      <c r="B998" t="inlineStr">
        <is>
          <t>Instructor - Computer and Information Sciences Program</t>
        </is>
      </c>
      <c r="C998" t="inlineStr">
        <is>
          <t>blocked_removed</t>
        </is>
      </c>
      <c r="D998" t="inlineStr">
        <is>
          <t>HigherEdJobs</t>
        </is>
      </c>
      <c r="E998" t="inlineStr">
        <is>
          <t>2026-09-07</t>
        </is>
      </c>
    </row>
    <row r="999">
      <c r="A999" t="inlineStr">
        <is>
          <t>Los Angeles Valley College (LACCD)</t>
        </is>
      </c>
      <c r="B999" t="inlineStr">
        <is>
          <t>AY27 - Computer Science Instructor</t>
        </is>
      </c>
      <c r="C999" t="inlineStr">
        <is>
          <t>blocked_removed</t>
        </is>
      </c>
      <c r="D999" t="inlineStr">
        <is>
          <t>HigherEdJobs</t>
        </is>
      </c>
      <c r="E999" t="inlineStr">
        <is>
          <t>2026-09-07</t>
        </is>
      </c>
    </row>
    <row r="1000">
      <c r="A1000" t="inlineStr">
        <is>
          <t>Harman International (part of Samsung Electronics)</t>
        </is>
      </c>
      <c r="B1000" t="inlineStr">
        <is>
          <t>AI Governance &amp; Risk Analyst</t>
        </is>
      </c>
      <c r="C1000" t="inlineStr">
        <is>
          <t>blocked_removed</t>
        </is>
      </c>
      <c r="D1000" t="inlineStr">
        <is>
          <t>Indeed</t>
        </is>
      </c>
      <c r="E1000" t="inlineStr">
        <is>
          <t>2026-09-08</t>
        </is>
      </c>
    </row>
    <row r="1001">
      <c r="A1001" t="inlineStr">
        <is>
          <t>TikTok USDS Joint Venture LLC</t>
        </is>
      </c>
      <c r="B1001" t="inlineStr">
        <is>
          <t>GRC Cybersecurity Controls Analyst</t>
        </is>
      </c>
      <c r="C1001" t="inlineStr">
        <is>
          <t>blocked_removed</t>
        </is>
      </c>
      <c r="D1001" t="inlineStr">
        <is>
          <t>Indeed</t>
        </is>
      </c>
      <c r="E1001" t="inlineStr">
        <is>
          <t>2026-09-08</t>
        </is>
      </c>
    </row>
    <row r="1002">
      <c r="A1002" t="inlineStr">
        <is>
          <t>Virginia State University</t>
        </is>
      </c>
      <c r="B1002" t="inlineStr">
        <is>
          <t>Senior Account Access Engineer (IT Specialist II)</t>
        </is>
      </c>
      <c r="C1002" t="inlineStr">
        <is>
          <t>blocked_removed</t>
        </is>
      </c>
      <c r="D1002" t="inlineStr">
        <is>
          <t>HigherEdJobs</t>
        </is>
      </c>
      <c r="E1002" t="inlineStr">
        <is>
          <t>2026-09-09</t>
        </is>
      </c>
    </row>
  </sheetData>
  <autoFilter ref="A1:H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8" defaultRowHeight="14.5"/>
  <cols>
    <col width="3" customWidth="1" min="1" max="1"/>
    <col width="42" customWidth="1" min="2" max="2"/>
    <col width="14" customWidth="1" min="3" max="3"/>
  </cols>
  <sheetData>
    <row r="2" ht="23" customHeight="1">
      <c r="B2" s="11" t="inlineStr">
        <is>
          <t>Job Search Tracker — Summary</t>
        </is>
      </c>
    </row>
    <row r="3">
      <c r="B3" s="12" t="inlineStr">
        <is>
          <t>Combines applications tracked by the automated job-search system with confirmation emails found in Gmail (inbox + trash)</t>
        </is>
      </c>
    </row>
    <row r="5" ht="20" customHeight="1">
      <c r="B5" s="13" t="inlineStr">
        <is>
          <t>Total Unique Applications Tracked</t>
        </is>
      </c>
      <c r="C5" s="14">
        <f>COUNTA('All Applications'!A2:A140)</f>
        <v/>
      </c>
    </row>
    <row r="7" ht="16.5" customHeight="1">
      <c r="B7" s="15" t="inlineStr">
        <is>
          <t>By Status</t>
        </is>
      </c>
      <c r="C7" s="16" t="n"/>
    </row>
    <row r="8">
      <c r="B8" s="17" t="inlineStr">
        <is>
          <t>applied</t>
        </is>
      </c>
      <c r="C8" s="18">
        <f>COUNTIF('All Applications'!C2:C140,"applied")</f>
        <v/>
      </c>
    </row>
    <row r="9">
      <c r="B9" s="19" t="inlineStr">
        <is>
          <t>interview</t>
        </is>
      </c>
      <c r="C9" s="20">
        <f>COUNTIF('All Applications'!C2:C140,"interview")</f>
        <v/>
      </c>
    </row>
    <row r="10">
      <c r="B10" s="21" t="inlineStr">
        <is>
          <t>applied_unverified</t>
        </is>
      </c>
      <c r="C10" s="22">
        <f>COUNTIF('All Applications'!C2:C140,"applied_unverified")</f>
        <v/>
      </c>
    </row>
    <row r="11">
      <c r="B11" s="23" t="inlineStr">
        <is>
          <t>staged</t>
        </is>
      </c>
      <c r="C11" s="24">
        <f>COUNTIF('All Applications'!C2:C140,"staged")</f>
        <v/>
      </c>
    </row>
    <row r="12">
      <c r="B12" s="21" t="inlineStr">
        <is>
          <t>needs_manual_completion</t>
        </is>
      </c>
      <c r="C12" s="22">
        <f>COUNTIF('All Applications'!C2:C140,"needs_manual_completion")</f>
        <v/>
      </c>
    </row>
    <row r="13">
      <c r="B13" s="25" t="inlineStr">
        <is>
          <t>rejected</t>
        </is>
      </c>
      <c r="C13" s="26">
        <f>COUNTIF('All Applications'!C2:C140,"rejected")</f>
        <v/>
      </c>
    </row>
    <row r="14">
      <c r="B14" s="23" t="inlineStr">
        <is>
          <t>not_pursuing</t>
        </is>
      </c>
      <c r="C14" s="24">
        <f>COUNTIF('All Applications'!C2:C140,"not_pursuing")</f>
        <v/>
      </c>
    </row>
    <row r="15">
      <c r="B15" s="23" t="inlineStr">
        <is>
          <t>closed</t>
        </is>
      </c>
      <c r="C15" s="24">
        <f>COUNTIF('All Applications'!C2:C140,"closed")</f>
        <v/>
      </c>
    </row>
    <row r="17" ht="16.5" customHeight="1">
      <c r="B17" s="15" t="inlineStr">
        <is>
          <t>By Source</t>
        </is>
      </c>
      <c r="C17" s="16" t="n"/>
    </row>
    <row r="18">
      <c r="B18" s="27" t="inlineStr">
        <is>
          <t>Local system + email confirmed</t>
        </is>
      </c>
      <c r="C18" s="28">
        <f>COUNTIF('All Applications'!D2:D140,"Local system + email confirmed")</f>
        <v/>
      </c>
    </row>
    <row r="19">
      <c r="B19" s="27" t="inlineStr">
        <is>
          <t>Local system (job-search automation)</t>
        </is>
      </c>
      <c r="C19" s="28">
        <f>COUNTIF('All Applications'!D2:D140,"Local system (job-search automation)")</f>
        <v/>
      </c>
    </row>
    <row r="20">
      <c r="B20" s="27" t="inlineStr">
        <is>
          <t>Email only (self-submitted, not tracked locally)</t>
        </is>
      </c>
      <c r="C20" s="28">
        <f>COUNTIF('All Applications'!D2:D140,"Email only (self-submitted, not tracked locally)")</f>
        <v/>
      </c>
    </row>
    <row r="22" ht="16.5" customHeight="1">
      <c r="B22" s="15" t="inlineStr">
        <is>
          <t>By Month (Date Applied/Found)</t>
        </is>
      </c>
      <c r="C22" s="16" t="n"/>
    </row>
    <row r="23">
      <c r="B23" s="29" t="inlineStr">
        <is>
          <t>Note: a row counts in two months if its Found and Applied dates differ.</t>
        </is>
      </c>
    </row>
    <row r="24">
      <c r="B24" s="30" t="inlineStr">
        <is>
          <t>2025-12</t>
        </is>
      </c>
      <c r="C24" s="28">
        <f>SUMPRODUCT((LEFT('All Applications'!E2:E140,7)="2025-12")*1)+SUMPRODUCT((LEFT('All Applications'!E2:E140,7)&lt;&gt;"2025-12")*(LEFT('All Applications'!F2:F140,7)="2025-12")*1)</f>
        <v/>
      </c>
    </row>
    <row r="25">
      <c r="B25" s="30" t="inlineStr">
        <is>
          <t>2026-01</t>
        </is>
      </c>
      <c r="C25" s="28">
        <f>SUMPRODUCT((LEFT('All Applications'!E2:E140,7)="2026-01")*1)+SUMPRODUCT((LEFT('All Applications'!E2:E140,7)&lt;&gt;"2026-01")*(LEFT('All Applications'!F2:F140,7)="2026-01")*1)</f>
        <v/>
      </c>
    </row>
    <row r="26">
      <c r="B26" s="30" t="inlineStr">
        <is>
          <t>2026-02</t>
        </is>
      </c>
      <c r="C26" s="28">
        <f>SUMPRODUCT((LEFT('All Applications'!E2:E140,7)="2026-02")*1)+SUMPRODUCT((LEFT('All Applications'!E2:E140,7)&lt;&gt;"2026-02")*(LEFT('All Applications'!F2:F140,7)="2026-02")*1)</f>
        <v/>
      </c>
    </row>
    <row r="27">
      <c r="B27" s="30" t="inlineStr">
        <is>
          <t>2026-03</t>
        </is>
      </c>
      <c r="C27" s="28">
        <f>SUMPRODUCT((LEFT('All Applications'!E2:E140,7)="2026-03")*1)+SUMPRODUCT((LEFT('All Applications'!E2:E140,7)&lt;&gt;"2026-03")*(LEFT('All Applications'!F2:F140,7)="2026-03")*1)</f>
        <v/>
      </c>
    </row>
    <row r="28">
      <c r="B28" s="30" t="inlineStr">
        <is>
          <t>2026-04</t>
        </is>
      </c>
      <c r="C28" s="28">
        <f>SUMPRODUCT((LEFT('All Applications'!E2:E140,7)="2026-04")*1)+SUMPRODUCT((LEFT('All Applications'!E2:E140,7)&lt;&gt;"2026-04")*(LEFT('All Applications'!F2:F140,7)="2026-04")*1)</f>
        <v/>
      </c>
    </row>
    <row r="29">
      <c r="B29" s="30" t="inlineStr">
        <is>
          <t>2026-05</t>
        </is>
      </c>
      <c r="C29" s="28">
        <f>SUMPRODUCT((LEFT('All Applications'!E2:E140,7)="2026-05")*1)+SUMPRODUCT((LEFT('All Applications'!E2:E140,7)&lt;&gt;"2026-05")*(LEFT('All Applications'!F2:F140,7)="2026-05")*1)</f>
        <v/>
      </c>
    </row>
    <row r="30">
      <c r="B30" s="30" t="inlineStr">
        <is>
          <t>2026-06</t>
        </is>
      </c>
      <c r="C30" s="28">
        <f>SUMPRODUCT((LEFT('All Applications'!E2:E140,7)="2026-06")*1)+SUMPRODUCT((LEFT('All Applications'!E2:E140,7)&lt;&gt;"2026-06")*(LEFT('All Applications'!F2:F140,7)="2026-06")*1)</f>
        <v/>
      </c>
    </row>
    <row r="31">
      <c r="B31" s="30" t="inlineStr">
        <is>
          <t>2026-07</t>
        </is>
      </c>
      <c r="C31" s="28">
        <f>SUMPRODUCT((LEFT('All Applications'!E2:E140,7)="2026-07")*1)+SUMPRODUCT((LEFT('All Applications'!E2:E140,7)&lt;&gt;"2026-07")*(LEFT('All Applications'!F2:F140,7)="2026-07")*1)</f>
        <v/>
      </c>
    </row>
    <row r="32">
      <c r="B32" s="30" t="inlineStr">
        <is>
          <t>2026-08</t>
        </is>
      </c>
      <c r="C32" s="28">
        <f>SUMPRODUCT((LEFT('All Applications'!E2:E140,7)="2026-08")*1)+SUMPRODUCT((LEFT('All Applications'!E2:E140,7)&lt;&gt;"2026-08")*(LEFT('All Applications'!F2:F140,7)="2026-08")*1)</f>
        <v/>
      </c>
    </row>
    <row r="33">
      <c r="B33" s="30" t="inlineStr">
        <is>
          <t>2026-09</t>
        </is>
      </c>
      <c r="C33" s="28">
        <f>SUMPRODUCT((LEFT('All Applications'!E2:E140,7)="2026-09")*1)+SUMPRODUCT((LEFT('All Applications'!E2:E140,7)&lt;&gt;"2026-09")*(LEFT('All Applications'!F2:F140,7)="2026-09")*1)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min="1" max="1"/>
    <col width="34" customWidth="1" min="2" max="2"/>
    <col width="44" customWidth="1" min="3" max="3"/>
    <col width="18" customWidth="1" min="4" max="4"/>
    <col width="14" customWidth="1" min="5" max="5"/>
  </cols>
  <sheetData>
    <row r="1">
      <c r="A1" s="31" t="inlineStr">
        <is>
          <t>Date</t>
        </is>
      </c>
      <c r="B1" s="31" t="inlineStr">
        <is>
          <t>Company</t>
        </is>
      </c>
      <c r="C1" s="31" t="inlineStr">
        <is>
          <t>Role</t>
        </is>
      </c>
      <c r="D1" s="31" t="inlineStr">
        <is>
          <t>Email Status</t>
        </is>
      </c>
      <c r="E1" s="31" t="inlineStr">
        <is>
          <t>Gmail Folder</t>
        </is>
      </c>
    </row>
    <row r="2">
      <c r="A2" s="32" t="inlineStr">
        <is>
          <t>2026-09-03</t>
        </is>
      </c>
      <c r="B2" s="32" t="inlineStr">
        <is>
          <t>Dolby</t>
        </is>
      </c>
      <c r="C2" s="32" t="inlineStr">
        <is>
          <t>IT Audit Manager</t>
        </is>
      </c>
      <c r="D2" s="32" t="inlineStr">
        <is>
          <t>Received</t>
        </is>
      </c>
      <c r="E2" s="32" t="inlineStr">
        <is>
          <t>INBOX</t>
        </is>
      </c>
    </row>
    <row r="3">
      <c r="A3" s="32" t="inlineStr">
        <is>
          <t>2026-09-02</t>
        </is>
      </c>
      <c r="B3" s="32" t="inlineStr">
        <is>
          <t>CIG Companies Services</t>
        </is>
      </c>
      <c r="C3" s="32" t="inlineStr">
        <is>
          <t>Manager, Cybersecurity</t>
        </is>
      </c>
      <c r="D3" s="32" t="inlineStr">
        <is>
          <t>Received</t>
        </is>
      </c>
      <c r="E3" s="32" t="inlineStr">
        <is>
          <t>TRASH</t>
        </is>
      </c>
    </row>
    <row r="4">
      <c r="A4" s="32" t="inlineStr">
        <is>
          <t>2026-08-30</t>
        </is>
      </c>
      <c r="B4" s="32" t="inlineStr">
        <is>
          <t>Aquent | Skill</t>
        </is>
      </c>
      <c r="C4" s="32" t="inlineStr">
        <is>
          <t>Fraud Analytics &amp; Strategy Manager</t>
        </is>
      </c>
      <c r="D4" s="32" t="inlineStr">
        <is>
          <t>Received</t>
        </is>
      </c>
      <c r="E4" s="32" t="inlineStr">
        <is>
          <t>TRASH</t>
        </is>
      </c>
    </row>
    <row r="5">
      <c r="A5" s="32" t="inlineStr">
        <is>
          <t>2026-08-30</t>
        </is>
      </c>
      <c r="B5" s="32" t="inlineStr">
        <is>
          <t>Aquent | Skill</t>
        </is>
      </c>
      <c r="C5" s="32" t="inlineStr">
        <is>
          <t>IT - Cyber Security Developer</t>
        </is>
      </c>
      <c r="D5" s="32" t="inlineStr">
        <is>
          <t>Received</t>
        </is>
      </c>
      <c r="E5" s="32" t="inlineStr">
        <is>
          <t>TRASH</t>
        </is>
      </c>
    </row>
    <row r="6">
      <c r="A6" s="32" t="inlineStr">
        <is>
          <t>2026-08-30</t>
        </is>
      </c>
      <c r="B6" s="32" t="inlineStr">
        <is>
          <t>Spectrum Comm Inc</t>
        </is>
      </c>
      <c r="C6" s="32" t="inlineStr">
        <is>
          <t>Systems Analyst</t>
        </is>
      </c>
      <c r="D6" s="32" t="inlineStr">
        <is>
          <t>Rejected</t>
        </is>
      </c>
      <c r="E6" s="32" t="inlineStr">
        <is>
          <t>TRASH</t>
        </is>
      </c>
    </row>
    <row r="7">
      <c r="A7" s="32" t="inlineStr">
        <is>
          <t>2026-08-30</t>
        </is>
      </c>
      <c r="B7" s="32" t="inlineStr">
        <is>
          <t>MetroStar</t>
        </is>
      </c>
      <c r="C7" s="32" t="inlineStr">
        <is>
          <t>(role not specified in confirmation)</t>
        </is>
      </c>
      <c r="D7" s="32" t="inlineStr">
        <is>
          <t>Received</t>
        </is>
      </c>
      <c r="E7" s="32" t="inlineStr">
        <is>
          <t>TRASH</t>
        </is>
      </c>
    </row>
    <row r="8">
      <c r="A8" s="32" t="inlineStr">
        <is>
          <t>2026-08-30</t>
        </is>
      </c>
      <c r="B8" s="32" t="inlineStr">
        <is>
          <t>Iron Bow Technologies</t>
        </is>
      </c>
      <c r="C8" s="32" t="inlineStr">
        <is>
          <t>PKI, Cryptography and Zero Trust Architect</t>
        </is>
      </c>
      <c r="D8" s="32" t="inlineStr">
        <is>
          <t>Received</t>
        </is>
      </c>
      <c r="E8" s="32" t="inlineStr">
        <is>
          <t>TRASH</t>
        </is>
      </c>
    </row>
    <row r="9">
      <c r="A9" s="32" t="inlineStr">
        <is>
          <t>2026-08-30</t>
        </is>
      </c>
      <c r="B9" s="32" t="inlineStr">
        <is>
          <t>Iron Bow Technologies</t>
        </is>
      </c>
      <c r="C9" s="32" t="inlineStr">
        <is>
          <t>Post-Quantum Cryptography Specialist</t>
        </is>
      </c>
      <c r="D9" s="32" t="inlineStr">
        <is>
          <t>Received</t>
        </is>
      </c>
      <c r="E9" s="32" t="inlineStr">
        <is>
          <t>TRASH</t>
        </is>
      </c>
    </row>
    <row r="10">
      <c r="A10" s="32" t="inlineStr">
        <is>
          <t>2026-08-30</t>
        </is>
      </c>
      <c r="B10" s="32" t="inlineStr">
        <is>
          <t>Authentic Brands Group</t>
        </is>
      </c>
      <c r="C10" s="32" t="inlineStr">
        <is>
          <t>Manager, IT Security and Compliance</t>
        </is>
      </c>
      <c r="D10" s="32" t="inlineStr">
        <is>
          <t>Received</t>
        </is>
      </c>
      <c r="E10" s="32" t="inlineStr">
        <is>
          <t>TRASH</t>
        </is>
      </c>
    </row>
    <row r="11">
      <c r="A11" s="32" t="inlineStr">
        <is>
          <t>2026-08-25</t>
        </is>
      </c>
      <c r="B11" s="32" t="inlineStr">
        <is>
          <t>CardWorks</t>
        </is>
      </c>
      <c r="C11" s="32" t="inlineStr">
        <is>
          <t>Director, Security Risk Management</t>
        </is>
      </c>
      <c r="D11" s="32" t="inlineStr">
        <is>
          <t>Rejected</t>
        </is>
      </c>
      <c r="E11" s="32" t="inlineStr">
        <is>
          <t>TRASH</t>
        </is>
      </c>
    </row>
    <row r="12">
      <c r="A12" s="32" t="inlineStr">
        <is>
          <t>2026-08-24</t>
        </is>
      </c>
      <c r="B12" s="32" t="inlineStr">
        <is>
          <t>Antier Solutions Pvt. Ltd</t>
        </is>
      </c>
      <c r="C12" s="32" t="inlineStr">
        <is>
          <t>Cybersecurity Trainer</t>
        </is>
      </c>
      <c r="D12" s="32" t="inlineStr">
        <is>
          <t>Received</t>
        </is>
      </c>
      <c r="E12" s="32" t="inlineStr">
        <is>
          <t>TRASH</t>
        </is>
      </c>
    </row>
    <row r="13">
      <c r="A13" s="32" t="inlineStr">
        <is>
          <t>2026-08-24</t>
        </is>
      </c>
      <c r="B13" s="32" t="inlineStr">
        <is>
          <t>ASU Enterprise Partners</t>
        </is>
      </c>
      <c r="C13" s="32" t="inlineStr">
        <is>
          <t>Director, Cybersecurity and Risk</t>
        </is>
      </c>
      <c r="D13" s="32" t="inlineStr">
        <is>
          <t>Received</t>
        </is>
      </c>
      <c r="E13" s="32" t="inlineStr">
        <is>
          <t>TRASH</t>
        </is>
      </c>
    </row>
    <row r="14">
      <c r="A14" s="32" t="inlineStr">
        <is>
          <t>2026-08-21</t>
        </is>
      </c>
      <c r="B14" s="32" t="inlineStr">
        <is>
          <t>University of Alabama at Birmingham (UAB)</t>
        </is>
      </c>
      <c r="C14" s="32" t="inlineStr">
        <is>
          <t>Computational Scientist</t>
        </is>
      </c>
      <c r="D14" s="32" t="inlineStr">
        <is>
          <t>Received</t>
        </is>
      </c>
      <c r="E14" s="32" t="inlineStr">
        <is>
          <t>TRASH</t>
        </is>
      </c>
    </row>
    <row r="15">
      <c r="A15" s="32" t="inlineStr">
        <is>
          <t>2026-08-21</t>
        </is>
      </c>
      <c r="B15" s="32" t="inlineStr">
        <is>
          <t>Humana</t>
        </is>
      </c>
      <c r="C15" s="32" t="inlineStr">
        <is>
          <t>Internal Auditor</t>
        </is>
      </c>
      <c r="D15" s="32" t="inlineStr">
        <is>
          <t>Received</t>
        </is>
      </c>
      <c r="E15" s="32" t="inlineStr">
        <is>
          <t>TRASH</t>
        </is>
      </c>
    </row>
    <row r="16">
      <c r="A16" s="32" t="inlineStr">
        <is>
          <t>2026-08-20</t>
        </is>
      </c>
      <c r="B16" s="32" t="inlineStr">
        <is>
          <t>University of Michigan</t>
        </is>
      </c>
      <c r="C16" s="32" t="inlineStr">
        <is>
          <t>Assistant Professor Tenure-Track - Dept. of Cybersecurity</t>
        </is>
      </c>
      <c r="D16" s="32" t="inlineStr">
        <is>
          <t>Received</t>
        </is>
      </c>
      <c r="E16" s="32" t="inlineStr">
        <is>
          <t>TRASH</t>
        </is>
      </c>
    </row>
    <row r="17">
      <c r="A17" s="32" t="inlineStr">
        <is>
          <t>2026-08-20</t>
        </is>
      </c>
      <c r="B17" s="32" t="inlineStr">
        <is>
          <t>Hastings College</t>
        </is>
      </c>
      <c r="C17" s="32" t="inlineStr">
        <is>
          <t>(role not specified in confirmation)</t>
        </is>
      </c>
      <c r="D17" s="32" t="inlineStr">
        <is>
          <t>Received</t>
        </is>
      </c>
      <c r="E17" s="32" t="inlineStr">
        <is>
          <t>TRASH</t>
        </is>
      </c>
    </row>
    <row r="18">
      <c r="A18" s="32" t="inlineStr">
        <is>
          <t>2026-08-20</t>
        </is>
      </c>
      <c r="B18" s="32" t="inlineStr">
        <is>
          <t>Boston University</t>
        </is>
      </c>
      <c r="C18" s="32" t="inlineStr">
        <is>
          <t>Client Technology Analyst I, Technology Experience</t>
        </is>
      </c>
      <c r="D18" s="32" t="inlineStr">
        <is>
          <t>Received</t>
        </is>
      </c>
      <c r="E18" s="32" t="inlineStr">
        <is>
          <t>TRASH</t>
        </is>
      </c>
    </row>
    <row r="19">
      <c r="A19" s="32" t="inlineStr">
        <is>
          <t>2026-08-20</t>
        </is>
      </c>
      <c r="B19" s="32" t="inlineStr">
        <is>
          <t>Thermo Systems LLC</t>
        </is>
      </c>
      <c r="C19" s="32" t="inlineStr">
        <is>
          <t>Project Manager</t>
        </is>
      </c>
      <c r="D19" s="32" t="inlineStr">
        <is>
          <t>Rejected</t>
        </is>
      </c>
      <c r="E19" s="32" t="inlineStr">
        <is>
          <t>TRASH</t>
        </is>
      </c>
    </row>
    <row r="20">
      <c r="A20" s="32" t="inlineStr">
        <is>
          <t>2026-08-19</t>
        </is>
      </c>
      <c r="B20" s="32" t="inlineStr">
        <is>
          <t>Vercel</t>
        </is>
      </c>
      <c r="C20" s="32" t="inlineStr">
        <is>
          <t>GRC Analyst</t>
        </is>
      </c>
      <c r="D20" s="32" t="inlineStr">
        <is>
          <t>Rejected</t>
        </is>
      </c>
      <c r="E20" s="32" t="inlineStr">
        <is>
          <t>TRASH</t>
        </is>
      </c>
    </row>
    <row r="21">
      <c r="A21" s="32" t="inlineStr">
        <is>
          <t>2026-08-18</t>
        </is>
      </c>
      <c r="B21" s="32" t="inlineStr">
        <is>
          <t>(governmentjobs.com posting)</t>
        </is>
      </c>
      <c r="C21" s="32" t="inlineStr">
        <is>
          <t>Cybersecurity Analyst III</t>
        </is>
      </c>
      <c r="D21" s="32" t="inlineStr">
        <is>
          <t>Rejected</t>
        </is>
      </c>
      <c r="E21" s="32" t="inlineStr">
        <is>
          <t>TRASH</t>
        </is>
      </c>
    </row>
    <row r="22">
      <c r="A22" s="32" t="inlineStr">
        <is>
          <t>2026-08-18</t>
        </is>
      </c>
      <c r="B22" s="32" t="inlineStr">
        <is>
          <t>Oregon Metro</t>
        </is>
      </c>
      <c r="C22" s="32" t="inlineStr">
        <is>
          <t>(role not specified in confirmation)</t>
        </is>
      </c>
      <c r="D22" s="32" t="inlineStr">
        <is>
          <t>Received</t>
        </is>
      </c>
      <c r="E22" s="32" t="inlineStr">
        <is>
          <t>TRASH</t>
        </is>
      </c>
    </row>
    <row r="23">
      <c r="A23" s="32" t="inlineStr">
        <is>
          <t>2026-08-18</t>
        </is>
      </c>
      <c r="B23" s="32" t="inlineStr">
        <is>
          <t>Nicolet Area Technical College</t>
        </is>
      </c>
      <c r="C23" s="32" t="inlineStr">
        <is>
          <t>(role not specified in confirmation)</t>
        </is>
      </c>
      <c r="D23" s="32" t="inlineStr">
        <is>
          <t>Received</t>
        </is>
      </c>
      <c r="E23" s="32" t="inlineStr">
        <is>
          <t>TRASH</t>
        </is>
      </c>
    </row>
    <row r="24">
      <c r="A24" s="32" t="inlineStr">
        <is>
          <t>2026-08-14</t>
        </is>
      </c>
      <c r="B24" s="32" t="inlineStr">
        <is>
          <t>Manhattan Associates</t>
        </is>
      </c>
      <c r="C24" s="32" t="inlineStr">
        <is>
          <t>Manager, Learning Experience Design</t>
        </is>
      </c>
      <c r="D24" s="32" t="inlineStr">
        <is>
          <t>Received</t>
        </is>
      </c>
      <c r="E24" s="32" t="inlineStr">
        <is>
          <t>TRASH</t>
        </is>
      </c>
    </row>
    <row r="25">
      <c r="A25" s="32" t="inlineStr">
        <is>
          <t>2026-08-14</t>
        </is>
      </c>
      <c r="B25" s="32" t="inlineStr">
        <is>
          <t>Manhattan Associates</t>
        </is>
      </c>
      <c r="C25" s="32" t="inlineStr">
        <is>
          <t>SEO &amp; AI Search Manager</t>
        </is>
      </c>
      <c r="D25" s="32" t="inlineStr">
        <is>
          <t>Received</t>
        </is>
      </c>
      <c r="E25" s="32" t="inlineStr">
        <is>
          <t>TRASH</t>
        </is>
      </c>
    </row>
    <row r="26">
      <c r="A26" s="32" t="inlineStr">
        <is>
          <t>2026-08-14</t>
        </is>
      </c>
      <c r="B26" s="32" t="inlineStr">
        <is>
          <t>Valence</t>
        </is>
      </c>
      <c r="C26" s="32" t="inlineStr">
        <is>
          <t>GRC Manager</t>
        </is>
      </c>
      <c r="D26" s="32" t="inlineStr">
        <is>
          <t>Received</t>
        </is>
      </c>
      <c r="E26" s="32" t="inlineStr">
        <is>
          <t>TRASH</t>
        </is>
      </c>
    </row>
    <row r="27">
      <c r="A27" s="32" t="inlineStr">
        <is>
          <t>2026-08-14</t>
        </is>
      </c>
      <c r="B27" s="32" t="inlineStr">
        <is>
          <t>Kirkland</t>
        </is>
      </c>
      <c r="C27" s="32" t="inlineStr">
        <is>
          <t>Cybersecurity GRC Specialist II</t>
        </is>
      </c>
      <c r="D27" s="32" t="inlineStr">
        <is>
          <t>Received</t>
        </is>
      </c>
      <c r="E27" s="32" t="inlineStr">
        <is>
          <t>TRASH</t>
        </is>
      </c>
    </row>
    <row r="28">
      <c r="A28" s="32" t="inlineStr">
        <is>
          <t>2026-08-14</t>
        </is>
      </c>
      <c r="B28" s="32" t="inlineStr">
        <is>
          <t>Fulcrum Global Technologies</t>
        </is>
      </c>
      <c r="C28" s="32" t="inlineStr">
        <is>
          <t>(role not specified in confirmation)</t>
        </is>
      </c>
      <c r="D28" s="32" t="inlineStr">
        <is>
          <t>Received</t>
        </is>
      </c>
      <c r="E28" s="32" t="inlineStr">
        <is>
          <t>TRASH</t>
        </is>
      </c>
    </row>
    <row r="29">
      <c r="A29" s="32" t="inlineStr">
        <is>
          <t>2026-08-14</t>
        </is>
      </c>
      <c r="B29" s="32" t="inlineStr">
        <is>
          <t>NinjaTrader</t>
        </is>
      </c>
      <c r="C29" s="32" t="inlineStr">
        <is>
          <t>GRC Engineer</t>
        </is>
      </c>
      <c r="D29" s="32" t="inlineStr">
        <is>
          <t>Received</t>
        </is>
      </c>
      <c r="E29" s="32" t="inlineStr">
        <is>
          <t>TRASH</t>
        </is>
      </c>
    </row>
    <row r="30">
      <c r="A30" s="32" t="inlineStr">
        <is>
          <t>2026-08-13</t>
        </is>
      </c>
      <c r="B30" s="32" t="inlineStr">
        <is>
          <t>Bowhead (UIC &amp; Family of Companies)</t>
        </is>
      </c>
      <c r="C30" s="32" t="inlineStr">
        <is>
          <t>Information System Security Manager (ISSM)</t>
        </is>
      </c>
      <c r="D30" s="32" t="inlineStr">
        <is>
          <t>Received</t>
        </is>
      </c>
      <c r="E30" s="32" t="inlineStr">
        <is>
          <t>TRASH</t>
        </is>
      </c>
    </row>
    <row r="31">
      <c r="A31" s="32" t="inlineStr">
        <is>
          <t>2026-08-12</t>
        </is>
      </c>
      <c r="B31" s="32" t="inlineStr">
        <is>
          <t>Tecta Corporate</t>
        </is>
      </c>
      <c r="C31" s="32" t="inlineStr">
        <is>
          <t>Director of Information Security and Data Governance</t>
        </is>
      </c>
      <c r="D31" s="32" t="inlineStr">
        <is>
          <t>Received</t>
        </is>
      </c>
      <c r="E31" s="32" t="inlineStr">
        <is>
          <t>TRASH</t>
        </is>
      </c>
    </row>
    <row r="32">
      <c r="A32" s="32" t="inlineStr">
        <is>
          <t>2026-08-12</t>
        </is>
      </c>
      <c r="B32" s="32" t="inlineStr">
        <is>
          <t>PLS</t>
        </is>
      </c>
      <c r="C32" s="32" t="inlineStr">
        <is>
          <t>(role not specified in confirmation)</t>
        </is>
      </c>
      <c r="D32" s="32" t="inlineStr">
        <is>
          <t>Received</t>
        </is>
      </c>
      <c r="E32" s="32" t="inlineStr">
        <is>
          <t>TRASH</t>
        </is>
      </c>
    </row>
    <row r="33">
      <c r="A33" s="32" t="inlineStr">
        <is>
          <t>2026-08-09</t>
        </is>
      </c>
      <c r="B33" s="32" t="inlineStr">
        <is>
          <t>Boston University</t>
        </is>
      </c>
      <c r="C33" s="32" t="inlineStr">
        <is>
          <t>Security Analyst II, BU Info Security</t>
        </is>
      </c>
      <c r="D33" s="32" t="inlineStr">
        <is>
          <t>Received</t>
        </is>
      </c>
      <c r="E33" s="32" t="inlineStr">
        <is>
          <t>TRASH</t>
        </is>
      </c>
    </row>
    <row r="34">
      <c r="A34" s="32" t="inlineStr">
        <is>
          <t>2026-08-08</t>
        </is>
      </c>
      <c r="B34" s="32" t="inlineStr">
        <is>
          <t>University of Alabama at Birmingham (UAB)</t>
        </is>
      </c>
      <c r="C34" s="32" t="inlineStr">
        <is>
          <t>Information Security Associate - ENT</t>
        </is>
      </c>
      <c r="D34" s="32" t="inlineStr">
        <is>
          <t>Received</t>
        </is>
      </c>
      <c r="E34" s="32" t="inlineStr">
        <is>
          <t>TRASH</t>
        </is>
      </c>
    </row>
    <row r="35">
      <c r="A35" s="32" t="inlineStr">
        <is>
          <t>2026-08-08</t>
        </is>
      </c>
      <c r="B35" s="32" t="inlineStr">
        <is>
          <t>(unspecified employer via Dayforce)</t>
        </is>
      </c>
      <c r="C35" s="32" t="inlineStr">
        <is>
          <t>Manager, Safety Management System (SMS)</t>
        </is>
      </c>
      <c r="D35" s="32" t="inlineStr">
        <is>
          <t>Received</t>
        </is>
      </c>
      <c r="E35" s="32" t="inlineStr">
        <is>
          <t>TRASH</t>
        </is>
      </c>
    </row>
    <row r="36">
      <c r="A36" s="32" t="inlineStr">
        <is>
          <t>2026-08-08</t>
        </is>
      </c>
      <c r="B36" s="32" t="inlineStr">
        <is>
          <t>Weill Cornell Medicine</t>
        </is>
      </c>
      <c r="C36" s="32" t="inlineStr">
        <is>
          <t>IT Support Analyst II</t>
        </is>
      </c>
      <c r="D36" s="32" t="inlineStr">
        <is>
          <t>Received</t>
        </is>
      </c>
      <c r="E36" s="32" t="inlineStr">
        <is>
          <t>TRASH</t>
        </is>
      </c>
    </row>
    <row r="37">
      <c r="A37" s="32" t="inlineStr">
        <is>
          <t>2026-08-08</t>
        </is>
      </c>
      <c r="B37" s="32" t="inlineStr">
        <is>
          <t>Mattermost</t>
        </is>
      </c>
      <c r="C37" s="32" t="inlineStr">
        <is>
          <t>GRC Engineer</t>
        </is>
      </c>
      <c r="D37" s="32" t="inlineStr">
        <is>
          <t>Received</t>
        </is>
      </c>
      <c r="E37" s="32" t="inlineStr">
        <is>
          <t>TRASH</t>
        </is>
      </c>
    </row>
    <row r="38">
      <c r="A38" s="32" t="inlineStr">
        <is>
          <t>2026-08-08</t>
        </is>
      </c>
      <c r="B38" s="32" t="inlineStr">
        <is>
          <t>South Suburban College</t>
        </is>
      </c>
      <c r="C38" s="32" t="inlineStr">
        <is>
          <t>(role not specified in confirmation)</t>
        </is>
      </c>
      <c r="D38" s="32" t="inlineStr">
        <is>
          <t>Received</t>
        </is>
      </c>
      <c r="E38" s="32" t="inlineStr">
        <is>
          <t>TRASH</t>
        </is>
      </c>
    </row>
    <row r="39">
      <c r="A39" s="32" t="inlineStr">
        <is>
          <t>2026-08-08</t>
        </is>
      </c>
      <c r="B39" s="32" t="inlineStr">
        <is>
          <t>Horry County, SC</t>
        </is>
      </c>
      <c r="C39" s="32" t="inlineStr">
        <is>
          <t>(role not specified in confirmation)</t>
        </is>
      </c>
      <c r="D39" s="32" t="inlineStr">
        <is>
          <t>Received</t>
        </is>
      </c>
      <c r="E39" s="32" t="inlineStr">
        <is>
          <t>TRASH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2026-09-03T17:17:19Z</dcterms:created>
  <dcterms:modified xmlns:dcterms="http://purl.org/dc/terms/" xmlns:xsi="http://www.w3.org/2001/XMLSchema-instance" xsi:type="dcterms:W3CDTF">2026-09-11T07:38:53Z</dcterms:modified>
  <cp:lastModifiedBy>Ologunde, Ezekiel Omotola</cp:lastModifiedBy>
</cp:coreProperties>
</file>